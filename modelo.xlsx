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Supuestos" sheetId="2" state="visible" r:id="rId2"/>
    <sheet name="Calculadora" sheetId="3" state="visible" r:id="rId3"/>
    <sheet name="Modelo por Estudio" sheetId="4" state="visible" r:id="rId4"/>
    <sheet name="Renta Anual" sheetId="5" state="visible" r:id="rId5"/>
    <sheet name="Precios por País" sheetId="6" state="visible" r:id="rId6"/>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0"/>
  </numFmts>
  <fonts count="8">
    <font>
      <name val="Calibri"/>
      <family val="2"/>
      <color theme="1"/>
      <sz val="11"/>
      <scheme val="minor"/>
    </font>
    <font>
      <name val="Arial"/>
      <b val="1"/>
      <color rgb="001F3864"/>
      <sz val="15"/>
    </font>
    <font>
      <name val="Arial"/>
      <i val="1"/>
      <color rgb="00808080"/>
      <sz val="8"/>
    </font>
    <font>
      <name val="Arial"/>
      <b val="1"/>
      <color rgb="001F3864"/>
      <sz val="11"/>
    </font>
    <font>
      <name val="Arial"/>
      <color rgb="00000000"/>
      <sz val="10"/>
    </font>
    <font>
      <name val="Arial"/>
      <color rgb="000000FF"/>
      <sz val="10"/>
    </font>
    <font>
      <name val="Arial"/>
      <b val="1"/>
      <color rgb="00FFFFFF"/>
      <sz val="10"/>
    </font>
    <font>
      <name val="Arial"/>
      <b val="1"/>
      <sz val="10"/>
    </font>
  </fonts>
  <fills count="7">
    <fill>
      <patternFill/>
    </fill>
    <fill>
      <patternFill patternType="gray125"/>
    </fill>
    <fill>
      <patternFill patternType="solid">
        <fgColor rgb="00FFFF00"/>
      </patternFill>
    </fill>
    <fill>
      <patternFill patternType="solid">
        <fgColor rgb="001F3864"/>
      </patternFill>
    </fill>
    <fill>
      <patternFill patternType="solid">
        <fgColor rgb="00E2EFDA"/>
      </patternFill>
    </fill>
    <fill>
      <patternFill patternType="solid">
        <fgColor rgb="00D9E1F2"/>
      </patternFill>
    </fill>
    <fill>
      <patternFill patternType="solid">
        <fgColor rgb="00FCE4E4"/>
      </patternFill>
    </fill>
  </fills>
  <borders count="5">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s>
  <cellStyleXfs count="1">
    <xf numFmtId="0" fontId="0" fillId="0" borderId="0"/>
  </cellStyleXfs>
  <cellXfs count="46">
    <xf numFmtId="0" fontId="0" fillId="0" borderId="0" pivotButton="0" quotePrefix="0" xfId="0"/>
    <xf numFmtId="0" fontId="1" fillId="0" borderId="0" pivotButton="0" quotePrefix="0" xfId="0"/>
    <xf numFmtId="0" fontId="3" fillId="0" borderId="0" pivotButton="0" quotePrefix="0" xfId="0"/>
    <xf numFmtId="0" fontId="2" fillId="0" borderId="0" pivotButton="0" quotePrefix="0" xfId="0"/>
    <xf numFmtId="0" fontId="4" fillId="0" borderId="0" applyAlignment="1" pivotButton="0" quotePrefix="0" xfId="0">
      <alignment horizontal="left" vertical="center" wrapText="1"/>
    </xf>
    <xf numFmtId="0" fontId="4" fillId="0" borderId="0" pivotButton="0" quotePrefix="0" xfId="0"/>
    <xf numFmtId="164" fontId="7" fillId="4" borderId="1" applyAlignment="1" pivotButton="0" quotePrefix="0" xfId="0">
      <alignment horizontal="center" vertical="center"/>
    </xf>
    <xf numFmtId="0" fontId="0" fillId="0" borderId="4" pivotButton="0" quotePrefix="0" xfId="0"/>
    <xf numFmtId="166" fontId="7" fillId="4" borderId="1" applyAlignment="1" pivotButton="0" quotePrefix="0" xfId="0">
      <alignment horizontal="center" vertical="center"/>
    </xf>
    <xf numFmtId="3" fontId="7" fillId="4" borderId="1" applyAlignment="1" pivotButton="0" quotePrefix="0" xfId="0">
      <alignment horizontal="center" vertical="center"/>
    </xf>
    <xf numFmtId="164" fontId="5" fillId="2" borderId="0" pivotButton="0" quotePrefix="0" xfId="0"/>
    <xf numFmtId="164" fontId="0" fillId="0" borderId="0" pivotButton="0" quotePrefix="0" xfId="0"/>
    <xf numFmtId="0" fontId="6" fillId="3" borderId="1" applyAlignment="1" pivotButton="0" quotePrefix="0" xfId="0">
      <alignment horizontal="center" vertical="center" wrapText="1"/>
    </xf>
    <xf numFmtId="0" fontId="4" fillId="0" borderId="1" applyAlignment="1" pivotButton="0" quotePrefix="0" xfId="0">
      <alignment horizontal="left" vertical="center" wrapText="1"/>
    </xf>
    <xf numFmtId="165" fontId="5" fillId="0" borderId="1" applyAlignment="1" pivotButton="0" quotePrefix="0" xfId="0">
      <alignment horizontal="center" vertical="center"/>
    </xf>
    <xf numFmtId="164" fontId="5" fillId="0" borderId="1" applyAlignment="1" pivotButton="0" quotePrefix="0" xfId="0">
      <alignment horizontal="center" vertical="center"/>
    </xf>
    <xf numFmtId="166" fontId="5" fillId="2" borderId="1" applyAlignment="1" pivotButton="0" quotePrefix="0" xfId="0">
      <alignment horizontal="center" vertical="center"/>
    </xf>
    <xf numFmtId="10" fontId="0" fillId="0" borderId="1" applyAlignment="1" pivotButton="0" quotePrefix="0" xfId="0">
      <alignment horizontal="center" vertical="center"/>
    </xf>
    <xf numFmtId="3" fontId="5" fillId="0" borderId="0" pivotButton="0" quotePrefix="0" xfId="0"/>
    <xf numFmtId="164" fontId="5" fillId="0" borderId="0" pivotButton="0" quotePrefix="0" xfId="0"/>
    <xf numFmtId="0" fontId="5" fillId="2" borderId="1" applyAlignment="1" pivotButton="0" quotePrefix="0" xfId="0">
      <alignment horizontal="center" vertical="center"/>
    </xf>
    <xf numFmtId="3" fontId="5" fillId="2" borderId="1" applyAlignment="1" pivotButton="0" quotePrefix="0" xfId="0">
      <alignment horizontal="center" vertical="center"/>
    </xf>
    <xf numFmtId="164" fontId="5" fillId="2" borderId="1" applyAlignment="1" pivotButton="0" quotePrefix="0" xfId="0">
      <alignment horizontal="center" vertical="center"/>
    </xf>
    <xf numFmtId="2" fontId="5" fillId="2" borderId="1" applyAlignment="1" pivotButton="0" quotePrefix="0" xfId="0">
      <alignment horizontal="center" vertical="center"/>
    </xf>
    <xf numFmtId="0" fontId="0" fillId="0" borderId="1" applyAlignment="1" pivotButton="0" quotePrefix="0" xfId="0">
      <alignment horizontal="center" vertical="center"/>
    </xf>
    <xf numFmtId="164" fontId="0" fillId="0" borderId="1" applyAlignment="1" pivotButton="0" quotePrefix="0" xfId="0">
      <alignment horizontal="center" vertical="center"/>
    </xf>
    <xf numFmtId="3" fontId="0" fillId="0" borderId="1" applyAlignment="1" pivotButton="0" quotePrefix="0" xfId="0">
      <alignment horizontal="center" vertical="center"/>
    </xf>
    <xf numFmtId="0" fontId="7" fillId="5" borderId="1" pivotButton="0" quotePrefix="0" xfId="0"/>
    <xf numFmtId="0" fontId="0" fillId="5" borderId="1" applyAlignment="1" pivotButton="0" quotePrefix="0" xfId="0">
      <alignment horizontal="center" vertical="center"/>
    </xf>
    <xf numFmtId="0" fontId="7" fillId="5" borderId="1" applyAlignment="1" pivotButton="0" quotePrefix="0" xfId="0">
      <alignment horizontal="center" vertical="center"/>
    </xf>
    <xf numFmtId="164" fontId="7" fillId="5" borderId="1" applyAlignment="1" pivotButton="0" quotePrefix="0" xfId="0">
      <alignment horizontal="center" vertical="center"/>
    </xf>
    <xf numFmtId="3" fontId="7" fillId="5" borderId="1" applyAlignment="1" pivotButton="0" quotePrefix="0" xfId="0">
      <alignment horizontal="center" vertical="center"/>
    </xf>
    <xf numFmtId="166" fontId="0" fillId="0" borderId="1" applyAlignment="1" pivotButton="0" quotePrefix="0" xfId="0">
      <alignment horizontal="center" vertical="center"/>
    </xf>
    <xf numFmtId="166" fontId="0" fillId="5" borderId="1" applyAlignment="1" pivotButton="0" quotePrefix="0" xfId="0">
      <alignment horizontal="center" vertical="center"/>
    </xf>
    <xf numFmtId="165" fontId="0" fillId="0" borderId="1" applyAlignment="1" pivotButton="0" quotePrefix="0" xfId="0">
      <alignment horizontal="center" vertical="center"/>
    </xf>
    <xf numFmtId="0" fontId="4" fillId="4" borderId="1" applyAlignment="1" pivotButton="0" quotePrefix="0" xfId="0">
      <alignment horizontal="left" vertical="center" wrapText="1"/>
    </xf>
    <xf numFmtId="3" fontId="0" fillId="4" borderId="1" applyAlignment="1" pivotButton="0" quotePrefix="0" xfId="0">
      <alignment horizontal="center" vertical="center"/>
    </xf>
    <xf numFmtId="166" fontId="0" fillId="4" borderId="1" applyAlignment="1" pivotButton="0" quotePrefix="0" xfId="0">
      <alignment horizontal="center" vertical="center"/>
    </xf>
    <xf numFmtId="165" fontId="0" fillId="4" borderId="1" applyAlignment="1" pivotButton="0" quotePrefix="0" xfId="0">
      <alignment horizontal="center" vertical="center"/>
    </xf>
    <xf numFmtId="164" fontId="0" fillId="4" borderId="1" applyAlignment="1" pivotButton="0" quotePrefix="0" xfId="0">
      <alignment horizontal="center" vertical="center"/>
    </xf>
    <xf numFmtId="0" fontId="0" fillId="5" borderId="1" pivotButton="0" quotePrefix="0" xfId="0"/>
    <xf numFmtId="0" fontId="4" fillId="6" borderId="1" applyAlignment="1" pivotButton="0" quotePrefix="0" xfId="0">
      <alignment horizontal="left" vertical="center" wrapText="1"/>
    </xf>
    <xf numFmtId="164" fontId="0" fillId="6" borderId="1" applyAlignment="1" pivotButton="0" quotePrefix="0" xfId="0">
      <alignment horizontal="center" vertical="center"/>
    </xf>
    <xf numFmtId="166" fontId="0" fillId="6" borderId="1" applyAlignment="1" pivotButton="0" quotePrefix="0" xfId="0">
      <alignment horizontal="center" vertical="center"/>
    </xf>
    <xf numFmtId="10" fontId="0" fillId="6" borderId="1" applyAlignment="1" pivotButton="0" quotePrefix="0" xfId="0">
      <alignment horizontal="center" vertical="center"/>
    </xf>
    <xf numFmtId="3" fontId="0" fillId="6"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omments/comment1.xml><?xml version="1.0" encoding="utf-8"?>
<comments xmlns="http://schemas.openxmlformats.org/spreadsheetml/2006/main">
  <authors>
    <author>Modelo</author>
  </authors>
  <commentList>
    <comment ref="B5" authorId="0" shapeId="0">
      <text>
        <t>Costo fijo que Rumotech traslada a NexoLibre por modalidad activa. Es en USD y NO varía por país: por eso fija un precio mínimo viable por estudio en cada mercado.</t>
      </text>
    </comment>
    <comment ref="G10" authorId="0" shapeId="0">
      <text>
        <t>Ingresos Brutos: impuesto provincial argentino sobre el ingreso bruto (~3% según provincia/actividad). Reduce el margen. En los demás países es 0. VALIDAR con contador local.</t>
      </text>
    </comment>
    <comment ref="D11" authorId="0" shapeId="0">
      <text>
        <t>Valor de referencia de un estudio de RM en USD (estimado, orientativo). Argentina/Colombia usan el reembolso realizado en USD (bajo/volátil), no el precio particular. VALIDAR con aranceles locales reales.</t>
      </text>
    </comment>
    <comment ref="E11" authorId="0" shapeId="0">
      <text>
        <t>PALANCA PRINCIPAL POR PAÍS. Precio por estudio facturado al centro, neto de IVA. Editable por país. Recomendado: USA 2,00 · Chile 1,20 · Uruguay 1,00 · Colombia 0,60 · Argentina 0,40.</t>
      </text>
    </comment>
    <comment ref="B23" authorId="0" shapeId="0">
      <text>
        <t>Mínimo mensual por modalidad. Clave en mercados baratos (Argentina/Colombia): garantiza cubrir el costo fijo de Rumotech aunque el volumen sea bajo. Puede calibrarse por país.</t>
      </text>
    </comment>
  </commentList>
</comments>
</file>

<file path=xl/comments/comment2.xml><?xml version="1.0" encoding="utf-8"?>
<comments xmlns="http://schemas.openxmlformats.org/spreadsheetml/2006/main">
  <authors>
    <author>Modelo</author>
  </authors>
  <commentList>
    <comment ref="B5" authorId="0" shapeId="0">
      <text>
        <t>País a simular. Toma precio, IVA, IIBB y renta desde la hoja Supuestos.</t>
      </text>
    </comment>
    <comment ref="B6" authorId="0" shapeId="0">
      <text>
        <t>Ubicaciones físicas del cliente. El costo por modalidad se cobra en cada sede.</t>
      </text>
    </comment>
    <comment ref="B7" authorId="0" shapeId="0">
      <text>
        <t>SaaS Full + Cryogenics: RM cuesta el fijo por sede. EBOX Full: RM cuesta por resonador (celda de abajo).</t>
      </text>
    </comment>
    <comment ref="B8" authorId="0" shapeId="0">
      <text>
        <t>Costo que Rumotech cobra por cada resonador con EBOX Full. Solo aplica si el plan RM = EBOX Full.</t>
      </text>
    </comment>
    <comment ref="B9" authorId="0" shapeId="0">
      <text>
        <t>Por equipos: volumen = equipos × estudios/equipo. Por pacientes: volumen = pacientes × coeficiente (como calculan los centros).</t>
      </text>
    </comment>
    <comment ref="B10" authorId="0" shapeId="0">
      <text>
        <t>Solo se usa si el método = Por pacientes.</t>
      </text>
    </comment>
    <comment ref="B11" authorId="0" shapeId="0">
      <text>
        <t>Prestaciones promedio por paciente. Prestaciones/sede = pacientes × coeficiente.</t>
      </text>
    </comment>
    <comment ref="E14" authorId="0" shapeId="0">
      <text>
        <t>RM: con SaaS+Cryo = costo fijo por sede; con EBOX = (costo anual EBOX ÷ 12) × resonadores de la sede.</t>
      </text>
    </comment>
    <comment ref="E15" authorId="0" shapeId="0">
      <text>
        <t>Modalidad adicional (según la propuesta Rumotech): con SaaS Full + Cryogenics = USD 1.200/año = USD 100/mes; con EBOX Full = USD 2.100/año = USD 175/mes.</t>
      </text>
    </comment>
    <comment ref="E16" authorId="0" shapeId="0">
      <text>
        <t>Modalidad adicional (según la propuesta Rumotech): con SaaS Full + Cryogenics = USD 1.200/año = USD 100/mes; con EBOX Full = USD 2.100/año = USD 175/mes.</t>
      </text>
    </comment>
    <comment ref="E17" authorId="0" shapeId="0">
      <text>
        <t>Modalidad adicional (según la propuesta Rumotech): con SaaS Full + Cryogenics = USD 1.200/año = USD 100/mes; con EBOX Full = USD 2.100/año = USD 175/mes.</t>
      </text>
    </comment>
    <comment ref="E18" authorId="0" shapeId="0">
      <text>
        <t>Modalidad adicional (según la propuesta Rumotech): con SaaS Full + Cryogenics = USD 1.200/año = USD 100/mes; con EBOX Full = USD 2.100/año = USD 175/mes.</t>
      </text>
    </comment>
    <comment ref="A23" authorId="0" shapeId="0">
      <text>
        <t>Lo que le cobramos al centro por cada estudio, sin IVA. Es la palanca que se simula (editable en Supuestos, por país).</t>
      </text>
    </comment>
    <comment ref="A24" authorId="0" shapeId="0">
      <text>
        <t>Precio de venta × IVA del país. Se le suma al cliente en la factura y se traslada al fisco.</t>
      </text>
    </comment>
    <comment ref="A25" authorId="0" shapeId="0">
      <text>
        <t>Precio de venta + IVA. Es lo que el cliente paga por cada estudio.</t>
      </text>
    </comment>
    <comment ref="A27" authorId="0" shapeId="0">
      <text>
        <t>Por equipos = Σ equipos × estudios/equipo. Por pacientes = pacientes × coeficiente.</t>
      </text>
    </comment>
    <comment ref="A28" authorId="0" shapeId="0">
      <text>
        <t>Prestaciones por sede × número de sedes.</t>
      </text>
    </comment>
    <comment ref="A29" authorId="0" shapeId="0">
      <text>
        <t>Volumen total × precio de venta. Es facturación antes de costos e impuestos: NO es ganancia.</t>
      </text>
    </comment>
    <comment ref="A30" authorId="0" shapeId="0">
      <text>
        <t>Ingreso bruto + IVA. Es el total que se le cobra al cliente y la BASE del IIBB.</t>
      </text>
    </comment>
    <comment ref="A32" authorId="0" shapeId="0">
      <text>
        <t>Fijo según la propuesta: SaaS Full+Cryogenics USD 100/mes por modalidad y sede; EBOX Full USD 833/mes por resonador + USD 175/mes por modalidad adicional. No editable.</t>
      </text>
    </comment>
    <comment ref="A33" authorId="0" shapeId="0">
      <text>
        <t>Costo Rumotech ÷ prestaciones. Baja al sumar equipos o sedes: la densidad diluye el costo fijo.</t>
      </text>
    </comment>
    <comment ref="A34" authorId="0" shapeId="0">
      <text>
        <t>Pago único por resonador: SaaS+Cryogenics USD 150, EBOX USD 500. No entra en la ganancia recurrente.</t>
      </text>
    </comment>
    <comment ref="A36" authorId="0" shapeId="0">
      <text>
        <t>Ingreso bruto × IVA. Lo paga el cliente y se traslada al fisco: NO afecta nuestra ganancia.</t>
      </text>
    </comment>
    <comment ref="A37" authorId="0" shapeId="0">
      <text>
        <t>Factura completa (precio de venta + IVA) × IIBB%. Se aplica sobre la factura CON IVA incluido. Sí es costo nuestro. 0 fuera de Argentina.</t>
      </text>
    </comment>
    <comment ref="A38" authorId="0" shapeId="0">
      <text>
        <t>Margen bruto × alícuota del país. Se calcula sobre el margen: precio de venta − costo del servicio.</t>
      </text>
    </comment>
    <comment ref="A40" authorId="0" shapeId="0">
      <text>
        <t>Ingreso bruto − costo Rumotech. Antes de impuestos.</t>
      </text>
    </comment>
    <comment ref="A41" authorId="0" shapeId="0">
      <text>
        <t>Margen bruto − IIBB − impuesto a las ganancias.</t>
      </text>
    </comment>
    <comment ref="A42" authorId="0" shapeId="0">
      <text>
        <t>Ganancia neta mensual × 12. Es la renta pasiva que retiene NexoLibre por este cliente.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F24"/>
  <sheetViews>
    <sheetView showGridLines="0" workbookViewId="0">
      <selection activeCell="A1" sqref="A1"/>
    </sheetView>
  </sheetViews>
  <sheetFormatPr baseColWidth="8" defaultRowHeight="15"/>
  <cols>
    <col width="30" customWidth="1" min="1" max="1"/>
    <col width="14" customWidth="1" min="2" max="2"/>
    <col width="14" customWidth="1" min="3" max="3"/>
    <col width="14" customWidth="1" min="4" max="4"/>
    <col width="14" customWidth="1" min="5" max="5"/>
    <col width="14" customWidth="1" min="6" max="6"/>
  </cols>
  <sheetData>
    <row r="1">
      <c r="A1" s="1" t="inlineStr">
        <is>
          <t>RUMOTECH CONNECT — Modelo de Comercialización NexoLibre</t>
        </is>
      </c>
    </row>
    <row r="2">
      <c r="A2" s="2" t="inlineStr">
        <is>
          <t>Tarifa variable por estudio, SEGMENTADA POR PAÍS · Chile · Uruguay · Argentina · Colombia · USA</t>
        </is>
      </c>
    </row>
    <row r="3">
      <c r="A3" s="3" t="inlineStr">
        <is>
          <t>Confidencial · 13 de julio de 2026 · Modelo vivo — editar inputs en 'Supuestos'</t>
        </is>
      </c>
    </row>
    <row r="5">
      <c r="A5" s="2" t="inlineStr">
        <is>
          <t>LA IDEA EN UNA LÍNEA</t>
        </is>
      </c>
    </row>
    <row r="6">
      <c r="A6" s="4" t="inlineStr">
        <is>
          <t>Rumotech traslada a NexoLibre un costo FIJO por modalidad (USD, igual en todos los países). NexoLibre revende como precio VARIABLE por estudio, ajustado al valor del estudio en cada mercado. El spread neto de impuestos es la renta pasiva por servicio.</t>
        </is>
      </c>
    </row>
    <row r="7"/>
    <row r="9">
      <c r="A9" s="2" t="inlineStr">
        <is>
          <t>PALANCAS Y RESULTADOS CLAVE</t>
        </is>
      </c>
    </row>
    <row r="10">
      <c r="A10" s="5" t="inlineStr">
        <is>
          <t>Costo fijo Rumotech / modalidad / mes (USD, fijo global)</t>
        </is>
      </c>
      <c r="E10" s="6">
        <f>Supuestos!$B$5</f>
        <v/>
      </c>
      <c r="F10" s="7" t="n"/>
    </row>
    <row r="11">
      <c r="A11" s="5" t="inlineStr">
        <is>
          <t>Precio SaaS / estudio — USA (mercado más caro)</t>
        </is>
      </c>
      <c r="E11" s="8">
        <f>Supuestos!$E$15</f>
        <v/>
      </c>
      <c r="F11" s="7" t="n"/>
    </row>
    <row r="12">
      <c r="A12" s="5" t="inlineStr">
        <is>
          <t>Precio SaaS / estudio — Argentina (mercado más barato)</t>
        </is>
      </c>
      <c r="E12" s="8">
        <f>Supuestos!$E$13</f>
        <v/>
      </c>
      <c r="F12" s="7" t="n"/>
    </row>
    <row r="13">
      <c r="A13" s="5" t="inlineStr">
        <is>
          <t>Renta neta anual / modalidad — Medio (prom. países)</t>
        </is>
      </c>
      <c r="E13" s="6">
        <f>AVERAGE('Renta Anual'!C5:C9)</f>
        <v/>
      </c>
      <c r="F13" s="7" t="n"/>
    </row>
    <row r="14">
      <c r="A14" s="5" t="inlineStr">
        <is>
          <t>Break-even Argentina (estudios/mes)</t>
        </is>
      </c>
      <c r="E14" s="9">
        <f>Supuestos!$B$5/Supuestos!$E$13</f>
        <v/>
      </c>
      <c r="F14" s="7" t="n"/>
    </row>
    <row r="15">
      <c r="A15" s="5" t="inlineStr">
        <is>
          <t>Break-even USA (estudios/mes)</t>
        </is>
      </c>
      <c r="E15" s="9">
        <f>Supuestos!$B$5/Supuestos!$E$15</f>
        <v/>
      </c>
      <c r="F15" s="7" t="n"/>
    </row>
    <row r="17">
      <c r="A17" s="2" t="inlineStr">
        <is>
          <t>RECOMENDACIÓN</t>
        </is>
      </c>
    </row>
    <row r="18">
      <c r="A18" s="4" t="inlineStr">
        <is>
          <t>Precio segmentado por país anclado a ~0,5–0,6% del valor del estudio local: USA 2,00 · Chile 1,20 · Uruguay 1,00 · Colombia 0,60 · Argentina 0,40 (neto de IVA). Como el costo de Rumotech es fijo en USD, en mercados baratos el precio no puede caer más sin licuar el margen: allí el punto de equilibrio en volumen sube (Argentina ~250 est./mes) y el piso mensual protege la renta. Para escalar en Argentina/Colombia conviene, además, negociar con Rumotech un costo fijo menor.</t>
        </is>
      </c>
    </row>
    <row r="19"/>
    <row r="20"/>
    <row r="21"/>
    <row r="22"/>
    <row r="24">
      <c r="A24" s="3" t="inlineStr">
        <is>
          <t>Hojas: Supuestos · Modelo por Estudio · Renta Anual · Precios por País</t>
        </is>
      </c>
    </row>
  </sheetData>
  <mergeCells count="18">
    <mergeCell ref="A24:F24"/>
    <mergeCell ref="A2:F2"/>
    <mergeCell ref="E12:F12"/>
    <mergeCell ref="A6:F7"/>
    <mergeCell ref="E15:F15"/>
    <mergeCell ref="E10:F10"/>
    <mergeCell ref="A12:D12"/>
    <mergeCell ref="A1:F1"/>
    <mergeCell ref="E11:F11"/>
    <mergeCell ref="A15:D15"/>
    <mergeCell ref="A18:F22"/>
    <mergeCell ref="E13:F13"/>
    <mergeCell ref="E14:F14"/>
    <mergeCell ref="A11:D11"/>
    <mergeCell ref="A3:F3"/>
    <mergeCell ref="A10:D10"/>
    <mergeCell ref="A13:D13"/>
    <mergeCell ref="A14:D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3"/>
  <sheetViews>
    <sheetView showGridLines="0" workbookViewId="0">
      <selection activeCell="A1" sqref="A1"/>
    </sheetView>
  </sheetViews>
  <sheetFormatPr baseColWidth="8" defaultRowHeight="15"/>
  <cols>
    <col width="44" customWidth="1" min="1" max="1"/>
    <col width="14" customWidth="1" min="2" max="2"/>
    <col width="14" customWidth="1" min="3" max="3"/>
    <col width="15" customWidth="1" min="4" max="4"/>
    <col width="14" customWidth="1" min="5" max="5"/>
    <col width="15" customWidth="1" min="6" max="6"/>
    <col width="12" customWidth="1" min="7" max="7"/>
  </cols>
  <sheetData>
    <row r="1">
      <c r="A1" s="1" t="inlineStr">
        <is>
          <t>RUMOTECH CONNECT · Modelo de Comercialización NexoLibre — Supuestos e Inputs</t>
        </is>
      </c>
    </row>
    <row r="2">
      <c r="A2" s="3" t="inlineStr">
        <is>
          <t>AZUL = inputs editables · AMARILLO = palanca clave · Todo lo demás se recalcula.</t>
        </is>
      </c>
    </row>
    <row r="4">
      <c r="A4" s="2" t="inlineStr">
        <is>
          <t>1 · COSTO (Rumotech → NexoLibre) — FIJO en USD, igual para todos los países</t>
        </is>
      </c>
    </row>
    <row r="5">
      <c r="A5" s="5" t="inlineStr">
        <is>
          <t>Costo fijo por modalidad por mes (USD)</t>
        </is>
      </c>
      <c r="B5" s="10" t="n">
        <v>100</v>
      </c>
    </row>
    <row r="6">
      <c r="A6" s="5" t="inlineStr">
        <is>
          <t>Costo fijo por modalidad por año (USD)</t>
        </is>
      </c>
      <c r="B6" s="11">
        <f>Supuestos!$B$5*12</f>
        <v/>
      </c>
    </row>
    <row r="8">
      <c r="A8" s="2" t="inlineStr">
        <is>
          <t>2 · PRECIO POR ESTUDIO SEGMENTADO POR PAÍS</t>
        </is>
      </c>
    </row>
    <row r="9">
      <c r="A9" s="3" t="inlineStr">
        <is>
          <t>Metodología: el precio del SaaS por estudio se ancla a un % pequeño del valor de un estudio (RM) en cada país. En mercados baratos/volátiles el precio baja, pero NO por debajo del piso que impone el costo fijo de Rumotech.</t>
        </is>
      </c>
    </row>
    <row r="10" ht="28" customHeight="1">
      <c r="A10" s="12" t="inlineStr">
        <is>
          <t>País</t>
        </is>
      </c>
      <c r="B10" s="12" t="inlineStr">
        <is>
          <t>IVA / consumo</t>
        </is>
      </c>
      <c r="C10" s="12" t="inlineStr">
        <is>
          <t>Imp. a la renta</t>
        </is>
      </c>
      <c r="D10" s="12" t="inlineStr">
        <is>
          <t>Valor ref. estudio
RM (USD)</t>
        </is>
      </c>
      <c r="E10" s="12" t="inlineStr">
        <is>
          <t>Precio SaaS
/estudio (USD)</t>
        </is>
      </c>
      <c r="F10" s="12" t="inlineStr">
        <is>
          <t>Take-rate
(% del estudio)</t>
        </is>
      </c>
      <c r="G10" s="12" t="inlineStr">
        <is>
          <t>IIBB %
(Arg.)</t>
        </is>
      </c>
    </row>
    <row r="11">
      <c r="A11" s="13" t="inlineStr">
        <is>
          <t>Chile</t>
        </is>
      </c>
      <c r="B11" s="14" t="n">
        <v>0.19</v>
      </c>
      <c r="C11" s="14" t="n">
        <v>0.27</v>
      </c>
      <c r="D11" s="15" t="n">
        <v>200</v>
      </c>
      <c r="E11" s="16" t="n">
        <v>1.2</v>
      </c>
      <c r="F11" s="17">
        <f>IF(D11=0,0,E11/D11)</f>
        <v/>
      </c>
      <c r="G11" s="14" t="n">
        <v>0</v>
      </c>
    </row>
    <row r="12">
      <c r="A12" s="13" t="inlineStr">
        <is>
          <t>Uruguay</t>
        </is>
      </c>
      <c r="B12" s="14" t="n">
        <v>0.22</v>
      </c>
      <c r="C12" s="14" t="n">
        <v>0.25</v>
      </c>
      <c r="D12" s="15" t="n">
        <v>180</v>
      </c>
      <c r="E12" s="16" t="n">
        <v>1</v>
      </c>
      <c r="F12" s="17">
        <f>IF(D12=0,0,E12/D12)</f>
        <v/>
      </c>
      <c r="G12" s="14" t="n">
        <v>0</v>
      </c>
    </row>
    <row r="13">
      <c r="A13" s="13" t="inlineStr">
        <is>
          <t>Argentina</t>
        </is>
      </c>
      <c r="B13" s="14" t="n">
        <v>0.21</v>
      </c>
      <c r="C13" s="14" t="n">
        <v>0.35</v>
      </c>
      <c r="D13" s="15" t="n">
        <v>80</v>
      </c>
      <c r="E13" s="16" t="n">
        <v>0.4</v>
      </c>
      <c r="F13" s="17">
        <f>IF(D13=0,0,E13/D13)</f>
        <v/>
      </c>
      <c r="G13" s="14" t="n">
        <v>0.03</v>
      </c>
    </row>
    <row r="14">
      <c r="A14" s="13" t="inlineStr">
        <is>
          <t>Colombia</t>
        </is>
      </c>
      <c r="B14" s="14" t="n">
        <v>0.19</v>
      </c>
      <c r="C14" s="14" t="n">
        <v>0.35</v>
      </c>
      <c r="D14" s="15" t="n">
        <v>120</v>
      </c>
      <c r="E14" s="16" t="n">
        <v>0.6</v>
      </c>
      <c r="F14" s="17">
        <f>IF(D14=0,0,E14/D14)</f>
        <v/>
      </c>
      <c r="G14" s="14" t="n">
        <v>0</v>
      </c>
    </row>
    <row r="15">
      <c r="A15" s="13" t="inlineStr">
        <is>
          <t>USA</t>
        </is>
      </c>
      <c r="B15" s="14" t="n">
        <v>0</v>
      </c>
      <c r="C15" s="14" t="n">
        <v>0.21</v>
      </c>
      <c r="D15" s="15" t="n">
        <v>400</v>
      </c>
      <c r="E15" s="16" t="n">
        <v>2</v>
      </c>
      <c r="F15" s="17">
        <f>IF(D15=0,0,E15/D15)</f>
        <v/>
      </c>
      <c r="G15" s="14" t="n">
        <v>0</v>
      </c>
    </row>
    <row r="17">
      <c r="A17" s="2" t="inlineStr">
        <is>
          <t>3 · ESCENARIOS DE VOLUMEN (estudios/mes por modalidad)</t>
        </is>
      </c>
    </row>
    <row r="18">
      <c r="A18" s="5" t="inlineStr">
        <is>
          <t>Bajo</t>
        </is>
      </c>
      <c r="B18" s="18" t="n">
        <v>250</v>
      </c>
    </row>
    <row r="19">
      <c r="A19" s="5" t="inlineStr">
        <is>
          <t>Medio</t>
        </is>
      </c>
      <c r="B19" s="18" t="n">
        <v>500</v>
      </c>
    </row>
    <row r="20">
      <c r="A20" s="5" t="inlineStr">
        <is>
          <t>Alto</t>
        </is>
      </c>
      <c r="B20" s="18" t="n">
        <v>900</v>
      </c>
    </row>
    <row r="22">
      <c r="A22" s="2" t="inlineStr">
        <is>
          <t>4 · SALVAGUARDA</t>
        </is>
      </c>
    </row>
    <row r="23">
      <c r="A23" s="5" t="inlineStr">
        <is>
          <t>Piso mensual por modalidad (mínimo facturable, USD)</t>
        </is>
      </c>
      <c r="B23" s="19" t="n">
        <v>200</v>
      </c>
    </row>
  </sheetData>
  <mergeCells count="3">
    <mergeCell ref="A2:F2"/>
    <mergeCell ref="A1:F1"/>
    <mergeCell ref="A9:F9"/>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F44"/>
  <sheetViews>
    <sheetView showGridLines="0" workbookViewId="0">
      <selection activeCell="A1" sqref="A1"/>
    </sheetView>
  </sheetViews>
  <sheetFormatPr baseColWidth="8" defaultRowHeight="15"/>
  <cols>
    <col width="40" customWidth="1" min="1" max="1"/>
    <col width="16" customWidth="1" min="2" max="2"/>
    <col width="14" customWidth="1" min="3" max="3"/>
    <col width="11" customWidth="1" min="4" max="4"/>
    <col width="15" customWidth="1" min="5" max="5"/>
    <col width="15" customWidth="1" min="6" max="6"/>
  </cols>
  <sheetData>
    <row r="1">
      <c r="A1" s="1" t="inlineStr">
        <is>
          <t>Calculadora de Escenarios — Rentabilidad por Cliente</t>
        </is>
      </c>
    </row>
    <row r="2">
      <c r="A2" s="3" t="inlineStr">
        <is>
          <t>El costo de Rumotech es por MODALIDAD y por SEDE (no por equipo), salvo RM con EBOX (por resonador). Editá las celdas AZULES. Los comentarios (triángulo rojo) explican cada valor.</t>
        </is>
      </c>
    </row>
    <row r="4">
      <c r="A4" s="2" t="inlineStr">
        <is>
          <t>CONFIGURACIÓN DEL CLIENTE</t>
        </is>
      </c>
    </row>
    <row r="5">
      <c r="A5" s="5" t="inlineStr">
        <is>
          <t>País (elegí de la lista)</t>
        </is>
      </c>
      <c r="B5" s="20" t="inlineStr">
        <is>
          <t>Argentina</t>
        </is>
      </c>
    </row>
    <row r="6">
      <c r="A6" s="5" t="inlineStr">
        <is>
          <t>Número de sedes</t>
        </is>
      </c>
      <c r="B6" s="21" t="n">
        <v>5</v>
      </c>
    </row>
    <row r="7">
      <c r="A7" s="5" t="inlineStr">
        <is>
          <t>Plan para RM</t>
        </is>
      </c>
      <c r="B7" s="20" t="inlineStr">
        <is>
          <t>SaaS Full + Cryogenics</t>
        </is>
      </c>
    </row>
    <row r="8">
      <c r="A8" s="5" t="inlineStr">
        <is>
          <t>EBOX Full — costo anual por resonador (USD)</t>
        </is>
      </c>
      <c r="B8" s="22" t="n">
        <v>10000</v>
      </c>
    </row>
    <row r="9">
      <c r="A9" s="5" t="inlineStr">
        <is>
          <t>Método de volumen</t>
        </is>
      </c>
      <c r="B9" s="20" t="inlineStr">
        <is>
          <t>Por equipos</t>
        </is>
      </c>
    </row>
    <row r="10">
      <c r="A10" s="5" t="inlineStr">
        <is>
          <t>Pacientes / mes por sede</t>
        </is>
      </c>
      <c r="B10" s="21" t="n">
        <v>900</v>
      </c>
    </row>
    <row r="11">
      <c r="A11" s="5" t="inlineStr">
        <is>
          <t>Coeficiente de exámenes por paciente</t>
        </is>
      </c>
      <c r="B11" s="23" t="n">
        <v>1.3</v>
      </c>
    </row>
    <row r="13" ht="28" customHeight="1">
      <c r="A13" s="12" t="inlineStr">
        <is>
          <t>Modalidad</t>
        </is>
      </c>
      <c r="B13" s="12" t="inlineStr">
        <is>
          <t>Equipos
por sede</t>
        </is>
      </c>
      <c r="C13" s="12" t="inlineStr">
        <is>
          <t>Estudios /
equipo / mes</t>
        </is>
      </c>
      <c r="D13" s="12" t="inlineStr">
        <is>
          <t>Modalidad
activa</t>
        </is>
      </c>
      <c r="E13" s="12" t="inlineStr">
        <is>
          <t>Costo Rumotech
/ sede (USD)</t>
        </is>
      </c>
      <c r="F13" s="12" t="inlineStr">
        <is>
          <t>Volumen / sede
(equipos)</t>
        </is>
      </c>
    </row>
    <row r="14">
      <c r="A14" s="13" t="inlineStr">
        <is>
          <t>Resonancia (RM)</t>
        </is>
      </c>
      <c r="B14" s="21" t="n">
        <v>1</v>
      </c>
      <c r="C14" s="21" t="n">
        <v>500</v>
      </c>
      <c r="D14" s="24">
        <f>IF(B14&gt;0,1,0)</f>
        <v/>
      </c>
      <c r="E14" s="25">
        <f>IF(B14&gt;0,IF($B$7="EBOX Full",($B$8/12)*B14,Supuestos!$B$5),0)</f>
        <v/>
      </c>
      <c r="F14" s="26">
        <f>B14*C14</f>
        <v/>
      </c>
    </row>
    <row r="15">
      <c r="A15" s="13" t="inlineStr">
        <is>
          <t>Tomografía (CT)</t>
        </is>
      </c>
      <c r="B15" s="21" t="n">
        <v>1</v>
      </c>
      <c r="C15" s="21" t="n">
        <v>700</v>
      </c>
      <c r="D15" s="24">
        <f>IF(B15&gt;0,1,0)</f>
        <v/>
      </c>
      <c r="E15" s="25">
        <f>IF(B15&gt;0,IF($B$7="EBOX Full",2100/12,Supuestos!$B$5),0)</f>
        <v/>
      </c>
      <c r="F15" s="26">
        <f>B15*C15</f>
        <v/>
      </c>
    </row>
    <row r="16">
      <c r="A16" s="13" t="inlineStr">
        <is>
          <t>Ultrasonido (US)</t>
        </is>
      </c>
      <c r="B16" s="21" t="n">
        <v>0</v>
      </c>
      <c r="C16" s="21" t="n">
        <v>1000</v>
      </c>
      <c r="D16" s="24">
        <f>IF(B16&gt;0,1,0)</f>
        <v/>
      </c>
      <c r="E16" s="25">
        <f>IF(B16&gt;0,IF($B$7="EBOX Full",2100/12,Supuestos!$B$5),0)</f>
        <v/>
      </c>
      <c r="F16" s="26">
        <f>B16*C16</f>
        <v/>
      </c>
    </row>
    <row r="17">
      <c r="A17" s="13" t="inlineStr">
        <is>
          <t>Rayos X (RX)</t>
        </is>
      </c>
      <c r="B17" s="21" t="n">
        <v>0</v>
      </c>
      <c r="C17" s="21" t="n">
        <v>1200</v>
      </c>
      <c r="D17" s="24">
        <f>IF(B17&gt;0,1,0)</f>
        <v/>
      </c>
      <c r="E17" s="25">
        <f>IF(B17&gt;0,IF($B$7="EBOX Full",2100/12,Supuestos!$B$5),0)</f>
        <v/>
      </c>
      <c r="F17" s="26">
        <f>B17*C17</f>
        <v/>
      </c>
    </row>
    <row r="18">
      <c r="A18" s="13" t="inlineStr">
        <is>
          <t>Mamografía (MG)</t>
        </is>
      </c>
      <c r="B18" s="21" t="n">
        <v>0</v>
      </c>
      <c r="C18" s="21" t="n">
        <v>300</v>
      </c>
      <c r="D18" s="24">
        <f>IF(B18&gt;0,1,0)</f>
        <v/>
      </c>
      <c r="E18" s="25">
        <f>IF(B18&gt;0,IF($B$7="EBOX Full",2100/12,Supuestos!$B$5),0)</f>
        <v/>
      </c>
      <c r="F18" s="26">
        <f>B18*C18</f>
        <v/>
      </c>
    </row>
    <row r="19">
      <c r="A19" s="27" t="inlineStr">
        <is>
          <t>Total por sede</t>
        </is>
      </c>
      <c r="B19" s="28" t="n"/>
      <c r="C19" s="28" t="n"/>
      <c r="D19" s="29">
        <f>SUM(D14:D18)</f>
        <v/>
      </c>
      <c r="E19" s="30">
        <f>SUM(E14:E18)</f>
        <v/>
      </c>
      <c r="F19" s="31">
        <f>SUM(F14:F18)</f>
        <v/>
      </c>
    </row>
    <row r="21">
      <c r="A21" s="2" t="inlineStr">
        <is>
          <t>RESULTADOS DEL CLIENTE (todas las sedes)</t>
        </is>
      </c>
    </row>
    <row r="22">
      <c r="A22" s="2" t="inlineStr">
        <is>
          <t>1 · PRECIOS DE VENTA</t>
        </is>
      </c>
    </row>
    <row r="23">
      <c r="A23" s="5" t="inlineStr">
        <is>
          <t>Precio de venta por prestación (sin IVA)</t>
        </is>
      </c>
      <c r="E23" s="32">
        <f>INDEX(Supuestos!$E$11:$E$15,MATCH($B$5,Supuestos!$A$11:$A$15,0))</f>
        <v/>
      </c>
      <c r="F23" s="7" t="n"/>
    </row>
    <row r="24">
      <c r="A24" s="5" t="inlineStr">
        <is>
          <t>IVA por prestación</t>
        </is>
      </c>
      <c r="E24" s="32">
        <f>E23*INDEX(Supuestos!$B$11:$B$15,MATCH($B$5,Supuestos!$A$11:$A$15,0))</f>
        <v/>
      </c>
      <c r="F24" s="7" t="n"/>
    </row>
    <row r="25">
      <c r="A25" s="5" t="inlineStr">
        <is>
          <t>Precio facturado por prestación (c/IVA)</t>
        </is>
      </c>
      <c r="E25" s="32">
        <f>E23+E24</f>
        <v/>
      </c>
      <c r="F25" s="7" t="n"/>
    </row>
    <row r="26">
      <c r="A26" s="2" t="inlineStr">
        <is>
          <t>2 · INGRESOS</t>
        </is>
      </c>
    </row>
    <row r="27">
      <c r="A27" s="5" t="inlineStr">
        <is>
          <t>Prestaciones por sede / mes</t>
        </is>
      </c>
      <c r="E27" s="26">
        <f>IF($B$9="Por pacientes",$B$10*$B$11,F19)</f>
        <v/>
      </c>
      <c r="F27" s="7" t="n"/>
    </row>
    <row r="28">
      <c r="A28" s="5" t="inlineStr">
        <is>
          <t>Volumen total de prestaciones / mes</t>
        </is>
      </c>
      <c r="E28" s="26">
        <f>E27*$B$6</f>
        <v/>
      </c>
      <c r="F28" s="7" t="n"/>
    </row>
    <row r="29">
      <c r="A29" s="5" t="inlineStr">
        <is>
          <t>Ingreso BRUTO / mes (sin IVA)</t>
        </is>
      </c>
      <c r="E29" s="25">
        <f>E28*E23</f>
        <v/>
      </c>
      <c r="F29" s="7" t="n"/>
    </row>
    <row r="30">
      <c r="A30" s="5" t="inlineStr">
        <is>
          <t>Facturación total / mes (c/IVA)</t>
        </is>
      </c>
      <c r="E30" s="25">
        <f>E29*(1+INDEX(Supuestos!$B$11:$B$15,MATCH($B$5,Supuestos!$A$11:$A$15,0)))</f>
        <v/>
      </c>
      <c r="F30" s="7" t="n"/>
    </row>
    <row r="31">
      <c r="A31" s="2" t="inlineStr">
        <is>
          <t>3 · COSTOS  (fijos — según la propuesta Rumotech adjunta)</t>
        </is>
      </c>
    </row>
    <row r="32">
      <c r="A32" s="5" t="inlineStr">
        <is>
          <t>Costo Rumotech / mes — total</t>
        </is>
      </c>
      <c r="E32" s="25">
        <f>E19*$B$6</f>
        <v/>
      </c>
      <c r="F32" s="7" t="n"/>
    </row>
    <row r="33">
      <c r="A33" s="5" t="inlineStr">
        <is>
          <t>Costo efectivo por prestación</t>
        </is>
      </c>
      <c r="E33" s="33">
        <f>IF(E28=0,0,E32/E28)</f>
        <v/>
      </c>
      <c r="F33" s="7" t="n"/>
    </row>
    <row r="34">
      <c r="A34" s="5" t="inlineStr">
        <is>
          <t>Hardware (pago ÚNICO)</t>
        </is>
      </c>
      <c r="E34" s="25">
        <f>IF($B$7="EBOX Full",500,150)*B14*$B$6</f>
        <v/>
      </c>
      <c r="F34" s="7" t="n"/>
    </row>
    <row r="35">
      <c r="A35" s="2" t="inlineStr">
        <is>
          <t>4 · IMPUESTOS</t>
        </is>
      </c>
    </row>
    <row r="36">
      <c r="A36" s="5" t="inlineStr">
        <is>
          <t>IVA trasladado / mes</t>
        </is>
      </c>
      <c r="E36" s="25">
        <f>E29*INDEX(Supuestos!$B$11:$B$15,MATCH($B$5,Supuestos!$A$11:$A$15,0))</f>
        <v/>
      </c>
      <c r="F36" s="7" t="n"/>
    </row>
    <row r="37">
      <c r="A37" s="5" t="inlineStr">
        <is>
          <t>Ingresos Brutos (IIBB) / mes</t>
        </is>
      </c>
      <c r="E37" s="25">
        <f>E30*INDEX(Supuestos!$G$11:$G$15,MATCH($B$5,Supuestos!$A$11:$A$15,0))</f>
        <v/>
      </c>
      <c r="F37" s="7" t="n"/>
    </row>
    <row r="38">
      <c r="A38" s="5" t="inlineStr">
        <is>
          <t>Impuesto a las ganancias / mes</t>
        </is>
      </c>
      <c r="E38" s="25">
        <f>IF(E40&gt;0,E40*INDEX(Supuestos!$C$11:$C$15,MATCH($B$5,Supuestos!$A$11:$A$15,0)),0)</f>
        <v/>
      </c>
      <c r="F38" s="7" t="n"/>
    </row>
    <row r="39">
      <c r="A39" s="2" t="inlineStr">
        <is>
          <t>5 · RESULTADO</t>
        </is>
      </c>
    </row>
    <row r="40">
      <c r="A40" s="5" t="inlineStr">
        <is>
          <t>Margen bruto / mes</t>
        </is>
      </c>
      <c r="E40" s="25">
        <f>E29-E32</f>
        <v/>
      </c>
      <c r="F40" s="7" t="n"/>
    </row>
    <row r="41">
      <c r="A41" s="5" t="inlineStr">
        <is>
          <t>GANANCIA NETA / mes</t>
        </is>
      </c>
      <c r="E41" s="6">
        <f>E40-E37-E38</f>
        <v/>
      </c>
      <c r="F41" s="7" t="n"/>
    </row>
    <row r="42">
      <c r="A42" s="5" t="inlineStr">
        <is>
          <t>GANANCIA NETA ANUAL — total cliente</t>
        </is>
      </c>
      <c r="E42" s="6">
        <f>E41*12</f>
        <v/>
      </c>
      <c r="F42" s="7" t="n"/>
    </row>
    <row r="44">
      <c r="A44" s="3" t="inlineStr">
        <is>
          <t>Cada etiqueta tiene un comentario (triángulo rojo) que explica el dato y su fórmula. Ejercicios: cambiá el plan de RM, el método de volumen o el país.</t>
        </is>
      </c>
    </row>
  </sheetData>
  <mergeCells count="40">
    <mergeCell ref="A23:D23"/>
    <mergeCell ref="E24:F24"/>
    <mergeCell ref="E33:F33"/>
    <mergeCell ref="A38:D38"/>
    <mergeCell ref="A29:D29"/>
    <mergeCell ref="E23:F23"/>
    <mergeCell ref="E42:F42"/>
    <mergeCell ref="A26:F26"/>
    <mergeCell ref="A28:D28"/>
    <mergeCell ref="A2:F2"/>
    <mergeCell ref="A40:D40"/>
    <mergeCell ref="E38:F38"/>
    <mergeCell ref="E29:F29"/>
    <mergeCell ref="A34:D34"/>
    <mergeCell ref="A30:D30"/>
    <mergeCell ref="E28:F28"/>
    <mergeCell ref="A22:F22"/>
    <mergeCell ref="A24:D24"/>
    <mergeCell ref="A35:F35"/>
    <mergeCell ref="E40:F40"/>
    <mergeCell ref="A36:D36"/>
    <mergeCell ref="E34:F34"/>
    <mergeCell ref="E30:F30"/>
    <mergeCell ref="A44:F44"/>
    <mergeCell ref="E27:F27"/>
    <mergeCell ref="A31:F31"/>
    <mergeCell ref="A25:D25"/>
    <mergeCell ref="E36:F36"/>
    <mergeCell ref="A41:D41"/>
    <mergeCell ref="A39:F39"/>
    <mergeCell ref="A37:D37"/>
    <mergeCell ref="A27:D27"/>
    <mergeCell ref="E32:F32"/>
    <mergeCell ref="E25:F25"/>
    <mergeCell ref="A1:F1"/>
    <mergeCell ref="E41:F41"/>
    <mergeCell ref="E37:F37"/>
    <mergeCell ref="A33:D33"/>
    <mergeCell ref="A42:D42"/>
    <mergeCell ref="A32:D32"/>
  </mergeCells>
  <dataValidations count="3">
    <dataValidation sqref="B5" showDropDown="0" showInputMessage="0" showErrorMessage="0" allowBlank="0" type="list">
      <formula1>"Chile,Uruguay,Argentina,Colombia,USA"</formula1>
    </dataValidation>
    <dataValidation sqref="B7" showDropDown="0" showInputMessage="0" showErrorMessage="0" allowBlank="0" type="list">
      <formula1>"SaaS Full + Cryogenics,EBOX Full"</formula1>
    </dataValidation>
    <dataValidation sqref="B9" showDropDown="0" showInputMessage="0" showErrorMessage="0" allowBlank="0" type="list">
      <formula1>"Por equipos,Por pacientes"</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K21"/>
  <sheetViews>
    <sheetView showGridLines="0" workbookViewId="0">
      <selection activeCell="A1" sqref="A1"/>
    </sheetView>
  </sheetViews>
  <sheetFormatPr baseColWidth="8" defaultRowHeight="15"/>
  <cols>
    <col width="12" customWidth="1" min="1" max="1"/>
    <col width="11" customWidth="1" min="2" max="2"/>
    <col width="11" customWidth="1" min="3" max="3"/>
    <col width="14" customWidth="1" min="4" max="4"/>
    <col width="12" customWidth="1" min="5" max="5"/>
    <col width="13" customWidth="1" min="6" max="6"/>
    <col width="9" customWidth="1" min="7" max="7"/>
    <col width="10" customWidth="1" min="8" max="8"/>
    <col width="12" customWidth="1" min="9" max="9"/>
    <col width="12" customWidth="1" min="10" max="10"/>
    <col width="12" customWidth="1" min="11" max="11"/>
  </cols>
  <sheetData>
    <row r="1">
      <c r="A1" s="1" t="inlineStr">
        <is>
          <t>Economía por Estudio — Renta Pasiva Neta por Servicio (precio segmentado por país)</t>
        </is>
      </c>
    </row>
    <row r="2">
      <c r="A2" s="3" t="inlineStr">
        <is>
          <t>Costo unitario Rumotech = costo mensual ÷ volumen. Renta neta = margen bruto × (1 − imp. renta). IVA pass-through (neutro).</t>
        </is>
      </c>
    </row>
    <row r="4" ht="30" customHeight="1">
      <c r="A4" s="12" t="inlineStr">
        <is>
          <t>País</t>
        </is>
      </c>
      <c r="B4" s="12" t="inlineStr">
        <is>
          <t>Escenario</t>
        </is>
      </c>
      <c r="C4" s="12" t="inlineStr">
        <is>
          <t>Volumen
(est./mes)</t>
        </is>
      </c>
      <c r="D4" s="12" t="inlineStr">
        <is>
          <t>Costo Rumotech
/estudio</t>
        </is>
      </c>
      <c r="E4" s="12" t="inlineStr">
        <is>
          <t>Precio SaaS
/estudio</t>
        </is>
      </c>
      <c r="F4" s="12" t="inlineStr">
        <is>
          <t>Margen bruto
/estudio</t>
        </is>
      </c>
      <c r="G4" s="12" t="inlineStr">
        <is>
          <t>Margen
%</t>
        </is>
      </c>
      <c r="H4" s="12" t="inlineStr">
        <is>
          <t>Imp. renta</t>
        </is>
      </c>
      <c r="I4" s="12" t="inlineStr">
        <is>
          <t>Renta neta
/estudio</t>
        </is>
      </c>
      <c r="J4" s="12" t="inlineStr">
        <is>
          <t>Renta neta
mensual</t>
        </is>
      </c>
      <c r="K4" s="12" t="inlineStr">
        <is>
          <t>Renta neta
anual</t>
        </is>
      </c>
    </row>
    <row r="5">
      <c r="A5" s="13" t="inlineStr">
        <is>
          <t>Chile</t>
        </is>
      </c>
      <c r="B5" s="13" t="inlineStr">
        <is>
          <t>Bajo</t>
        </is>
      </c>
      <c r="C5" s="26">
        <f>Supuestos!$B$18</f>
        <v/>
      </c>
      <c r="D5" s="32">
        <f>Supuestos!$B$5/C5</f>
        <v/>
      </c>
      <c r="E5" s="32">
        <f>Supuestos!$E$11</f>
        <v/>
      </c>
      <c r="F5" s="32">
        <f>E5-D5</f>
        <v/>
      </c>
      <c r="G5" s="34">
        <f>IF(E5=0,0,F5/E5)</f>
        <v/>
      </c>
      <c r="H5" s="34">
        <f>Supuestos!$C$11</f>
        <v/>
      </c>
      <c r="I5" s="32">
        <f>F5*(1-H5)</f>
        <v/>
      </c>
      <c r="J5" s="25">
        <f>I5*C5</f>
        <v/>
      </c>
      <c r="K5" s="25">
        <f>J5*12</f>
        <v/>
      </c>
    </row>
    <row r="6">
      <c r="A6" s="35" t="inlineStr">
        <is>
          <t>Chile</t>
        </is>
      </c>
      <c r="B6" s="35" t="inlineStr">
        <is>
          <t>Medio</t>
        </is>
      </c>
      <c r="C6" s="36">
        <f>Supuestos!$B$19</f>
        <v/>
      </c>
      <c r="D6" s="37">
        <f>Supuestos!$B$5/C6</f>
        <v/>
      </c>
      <c r="E6" s="37">
        <f>Supuestos!$E$11</f>
        <v/>
      </c>
      <c r="F6" s="37">
        <f>E6-D6</f>
        <v/>
      </c>
      <c r="G6" s="38">
        <f>IF(E6=0,0,F6/E6)</f>
        <v/>
      </c>
      <c r="H6" s="38">
        <f>Supuestos!$C$11</f>
        <v/>
      </c>
      <c r="I6" s="37">
        <f>F6*(1-H6)</f>
        <v/>
      </c>
      <c r="J6" s="39">
        <f>I6*C6</f>
        <v/>
      </c>
      <c r="K6" s="39">
        <f>J6*12</f>
        <v/>
      </c>
    </row>
    <row r="7">
      <c r="A7" s="13" t="inlineStr">
        <is>
          <t>Chile</t>
        </is>
      </c>
      <c r="B7" s="13" t="inlineStr">
        <is>
          <t>Alto</t>
        </is>
      </c>
      <c r="C7" s="26">
        <f>Supuestos!$B$20</f>
        <v/>
      </c>
      <c r="D7" s="32">
        <f>Supuestos!$B$5/C7</f>
        <v/>
      </c>
      <c r="E7" s="32">
        <f>Supuestos!$E$11</f>
        <v/>
      </c>
      <c r="F7" s="32">
        <f>E7-D7</f>
        <v/>
      </c>
      <c r="G7" s="34">
        <f>IF(E7=0,0,F7/E7)</f>
        <v/>
      </c>
      <c r="H7" s="34">
        <f>Supuestos!$C$11</f>
        <v/>
      </c>
      <c r="I7" s="32">
        <f>F7*(1-H7)</f>
        <v/>
      </c>
      <c r="J7" s="25">
        <f>I7*C7</f>
        <v/>
      </c>
      <c r="K7" s="25">
        <f>J7*12</f>
        <v/>
      </c>
    </row>
    <row r="8">
      <c r="A8" s="13" t="inlineStr">
        <is>
          <t>Uruguay</t>
        </is>
      </c>
      <c r="B8" s="13" t="inlineStr">
        <is>
          <t>Bajo</t>
        </is>
      </c>
      <c r="C8" s="26">
        <f>Supuestos!$B$18</f>
        <v/>
      </c>
      <c r="D8" s="32">
        <f>Supuestos!$B$5/C8</f>
        <v/>
      </c>
      <c r="E8" s="32">
        <f>Supuestos!$E$12</f>
        <v/>
      </c>
      <c r="F8" s="32">
        <f>E8-D8</f>
        <v/>
      </c>
      <c r="G8" s="34">
        <f>IF(E8=0,0,F8/E8)</f>
        <v/>
      </c>
      <c r="H8" s="34">
        <f>Supuestos!$C$12</f>
        <v/>
      </c>
      <c r="I8" s="32">
        <f>F8*(1-H8)</f>
        <v/>
      </c>
      <c r="J8" s="25">
        <f>I8*C8</f>
        <v/>
      </c>
      <c r="K8" s="25">
        <f>J8*12</f>
        <v/>
      </c>
    </row>
    <row r="9">
      <c r="A9" s="35" t="inlineStr">
        <is>
          <t>Uruguay</t>
        </is>
      </c>
      <c r="B9" s="35" t="inlineStr">
        <is>
          <t>Medio</t>
        </is>
      </c>
      <c r="C9" s="36">
        <f>Supuestos!$B$19</f>
        <v/>
      </c>
      <c r="D9" s="37">
        <f>Supuestos!$B$5/C9</f>
        <v/>
      </c>
      <c r="E9" s="37">
        <f>Supuestos!$E$12</f>
        <v/>
      </c>
      <c r="F9" s="37">
        <f>E9-D9</f>
        <v/>
      </c>
      <c r="G9" s="38">
        <f>IF(E9=0,0,F9/E9)</f>
        <v/>
      </c>
      <c r="H9" s="38">
        <f>Supuestos!$C$12</f>
        <v/>
      </c>
      <c r="I9" s="37">
        <f>F9*(1-H9)</f>
        <v/>
      </c>
      <c r="J9" s="39">
        <f>I9*C9</f>
        <v/>
      </c>
      <c r="K9" s="39">
        <f>J9*12</f>
        <v/>
      </c>
    </row>
    <row r="10">
      <c r="A10" s="13" t="inlineStr">
        <is>
          <t>Uruguay</t>
        </is>
      </c>
      <c r="B10" s="13" t="inlineStr">
        <is>
          <t>Alto</t>
        </is>
      </c>
      <c r="C10" s="26">
        <f>Supuestos!$B$20</f>
        <v/>
      </c>
      <c r="D10" s="32">
        <f>Supuestos!$B$5/C10</f>
        <v/>
      </c>
      <c r="E10" s="32">
        <f>Supuestos!$E$12</f>
        <v/>
      </c>
      <c r="F10" s="32">
        <f>E10-D10</f>
        <v/>
      </c>
      <c r="G10" s="34">
        <f>IF(E10=0,0,F10/E10)</f>
        <v/>
      </c>
      <c r="H10" s="34">
        <f>Supuestos!$C$12</f>
        <v/>
      </c>
      <c r="I10" s="32">
        <f>F10*(1-H10)</f>
        <v/>
      </c>
      <c r="J10" s="25">
        <f>I10*C10</f>
        <v/>
      </c>
      <c r="K10" s="25">
        <f>J10*12</f>
        <v/>
      </c>
    </row>
    <row r="11">
      <c r="A11" s="13" t="inlineStr">
        <is>
          <t>Argentina</t>
        </is>
      </c>
      <c r="B11" s="13" t="inlineStr">
        <is>
          <t>Bajo</t>
        </is>
      </c>
      <c r="C11" s="26">
        <f>Supuestos!$B$18</f>
        <v/>
      </c>
      <c r="D11" s="32">
        <f>Supuestos!$B$5/C11</f>
        <v/>
      </c>
      <c r="E11" s="32">
        <f>Supuestos!$E$13</f>
        <v/>
      </c>
      <c r="F11" s="32">
        <f>E11-D11</f>
        <v/>
      </c>
      <c r="G11" s="34">
        <f>IF(E11=0,0,F11/E11)</f>
        <v/>
      </c>
      <c r="H11" s="34">
        <f>Supuestos!$C$13</f>
        <v/>
      </c>
      <c r="I11" s="32">
        <f>F11*(1-H11)</f>
        <v/>
      </c>
      <c r="J11" s="25">
        <f>I11*C11</f>
        <v/>
      </c>
      <c r="K11" s="25">
        <f>J11*12</f>
        <v/>
      </c>
    </row>
    <row r="12">
      <c r="A12" s="35" t="inlineStr">
        <is>
          <t>Argentina</t>
        </is>
      </c>
      <c r="B12" s="35" t="inlineStr">
        <is>
          <t>Medio</t>
        </is>
      </c>
      <c r="C12" s="36">
        <f>Supuestos!$B$19</f>
        <v/>
      </c>
      <c r="D12" s="37">
        <f>Supuestos!$B$5/C12</f>
        <v/>
      </c>
      <c r="E12" s="37">
        <f>Supuestos!$E$13</f>
        <v/>
      </c>
      <c r="F12" s="37">
        <f>E12-D12</f>
        <v/>
      </c>
      <c r="G12" s="38">
        <f>IF(E12=0,0,F12/E12)</f>
        <v/>
      </c>
      <c r="H12" s="38">
        <f>Supuestos!$C$13</f>
        <v/>
      </c>
      <c r="I12" s="37">
        <f>F12*(1-H12)</f>
        <v/>
      </c>
      <c r="J12" s="39">
        <f>I12*C12</f>
        <v/>
      </c>
      <c r="K12" s="39">
        <f>J12*12</f>
        <v/>
      </c>
    </row>
    <row r="13">
      <c r="A13" s="13" t="inlineStr">
        <is>
          <t>Argentina</t>
        </is>
      </c>
      <c r="B13" s="13" t="inlineStr">
        <is>
          <t>Alto</t>
        </is>
      </c>
      <c r="C13" s="26">
        <f>Supuestos!$B$20</f>
        <v/>
      </c>
      <c r="D13" s="32">
        <f>Supuestos!$B$5/C13</f>
        <v/>
      </c>
      <c r="E13" s="32">
        <f>Supuestos!$E$13</f>
        <v/>
      </c>
      <c r="F13" s="32">
        <f>E13-D13</f>
        <v/>
      </c>
      <c r="G13" s="34">
        <f>IF(E13=0,0,F13/E13)</f>
        <v/>
      </c>
      <c r="H13" s="34">
        <f>Supuestos!$C$13</f>
        <v/>
      </c>
      <c r="I13" s="32">
        <f>F13*(1-H13)</f>
        <v/>
      </c>
      <c r="J13" s="25">
        <f>I13*C13</f>
        <v/>
      </c>
      <c r="K13" s="25">
        <f>J13*12</f>
        <v/>
      </c>
    </row>
    <row r="14">
      <c r="A14" s="13" t="inlineStr">
        <is>
          <t>Colombia</t>
        </is>
      </c>
      <c r="B14" s="13" t="inlineStr">
        <is>
          <t>Bajo</t>
        </is>
      </c>
      <c r="C14" s="26">
        <f>Supuestos!$B$18</f>
        <v/>
      </c>
      <c r="D14" s="32">
        <f>Supuestos!$B$5/C14</f>
        <v/>
      </c>
      <c r="E14" s="32">
        <f>Supuestos!$E$14</f>
        <v/>
      </c>
      <c r="F14" s="32">
        <f>E14-D14</f>
        <v/>
      </c>
      <c r="G14" s="34">
        <f>IF(E14=0,0,F14/E14)</f>
        <v/>
      </c>
      <c r="H14" s="34">
        <f>Supuestos!$C$14</f>
        <v/>
      </c>
      <c r="I14" s="32">
        <f>F14*(1-H14)</f>
        <v/>
      </c>
      <c r="J14" s="25">
        <f>I14*C14</f>
        <v/>
      </c>
      <c r="K14" s="25">
        <f>J14*12</f>
        <v/>
      </c>
    </row>
    <row r="15">
      <c r="A15" s="35" t="inlineStr">
        <is>
          <t>Colombia</t>
        </is>
      </c>
      <c r="B15" s="35" t="inlineStr">
        <is>
          <t>Medio</t>
        </is>
      </c>
      <c r="C15" s="36">
        <f>Supuestos!$B$19</f>
        <v/>
      </c>
      <c r="D15" s="37">
        <f>Supuestos!$B$5/C15</f>
        <v/>
      </c>
      <c r="E15" s="37">
        <f>Supuestos!$E$14</f>
        <v/>
      </c>
      <c r="F15" s="37">
        <f>E15-D15</f>
        <v/>
      </c>
      <c r="G15" s="38">
        <f>IF(E15=0,0,F15/E15)</f>
        <v/>
      </c>
      <c r="H15" s="38">
        <f>Supuestos!$C$14</f>
        <v/>
      </c>
      <c r="I15" s="37">
        <f>F15*(1-H15)</f>
        <v/>
      </c>
      <c r="J15" s="39">
        <f>I15*C15</f>
        <v/>
      </c>
      <c r="K15" s="39">
        <f>J15*12</f>
        <v/>
      </c>
    </row>
    <row r="16">
      <c r="A16" s="13" t="inlineStr">
        <is>
          <t>Colombia</t>
        </is>
      </c>
      <c r="B16" s="13" t="inlineStr">
        <is>
          <t>Alto</t>
        </is>
      </c>
      <c r="C16" s="26">
        <f>Supuestos!$B$20</f>
        <v/>
      </c>
      <c r="D16" s="32">
        <f>Supuestos!$B$5/C16</f>
        <v/>
      </c>
      <c r="E16" s="32">
        <f>Supuestos!$E$14</f>
        <v/>
      </c>
      <c r="F16" s="32">
        <f>E16-D16</f>
        <v/>
      </c>
      <c r="G16" s="34">
        <f>IF(E16=0,0,F16/E16)</f>
        <v/>
      </c>
      <c r="H16" s="34">
        <f>Supuestos!$C$14</f>
        <v/>
      </c>
      <c r="I16" s="32">
        <f>F16*(1-H16)</f>
        <v/>
      </c>
      <c r="J16" s="25">
        <f>I16*C16</f>
        <v/>
      </c>
      <c r="K16" s="25">
        <f>J16*12</f>
        <v/>
      </c>
    </row>
    <row r="17">
      <c r="A17" s="13" t="inlineStr">
        <is>
          <t>USA</t>
        </is>
      </c>
      <c r="B17" s="13" t="inlineStr">
        <is>
          <t>Bajo</t>
        </is>
      </c>
      <c r="C17" s="26">
        <f>Supuestos!$B$18</f>
        <v/>
      </c>
      <c r="D17" s="32">
        <f>Supuestos!$B$5/C17</f>
        <v/>
      </c>
      <c r="E17" s="32">
        <f>Supuestos!$E$15</f>
        <v/>
      </c>
      <c r="F17" s="32">
        <f>E17-D17</f>
        <v/>
      </c>
      <c r="G17" s="34">
        <f>IF(E17=0,0,F17/E17)</f>
        <v/>
      </c>
      <c r="H17" s="34">
        <f>Supuestos!$C$15</f>
        <v/>
      </c>
      <c r="I17" s="32">
        <f>F17*(1-H17)</f>
        <v/>
      </c>
      <c r="J17" s="25">
        <f>I17*C17</f>
        <v/>
      </c>
      <c r="K17" s="25">
        <f>J17*12</f>
        <v/>
      </c>
    </row>
    <row r="18">
      <c r="A18" s="35" t="inlineStr">
        <is>
          <t>USA</t>
        </is>
      </c>
      <c r="B18" s="35" t="inlineStr">
        <is>
          <t>Medio</t>
        </is>
      </c>
      <c r="C18" s="36">
        <f>Supuestos!$B$19</f>
        <v/>
      </c>
      <c r="D18" s="37">
        <f>Supuestos!$B$5/C18</f>
        <v/>
      </c>
      <c r="E18" s="37">
        <f>Supuestos!$E$15</f>
        <v/>
      </c>
      <c r="F18" s="37">
        <f>E18-D18</f>
        <v/>
      </c>
      <c r="G18" s="38">
        <f>IF(E18=0,0,F18/E18)</f>
        <v/>
      </c>
      <c r="H18" s="38">
        <f>Supuestos!$C$15</f>
        <v/>
      </c>
      <c r="I18" s="37">
        <f>F18*(1-H18)</f>
        <v/>
      </c>
      <c r="J18" s="39">
        <f>I18*C18</f>
        <v/>
      </c>
      <c r="K18" s="39">
        <f>J18*12</f>
        <v/>
      </c>
    </row>
    <row r="19">
      <c r="A19" s="13" t="inlineStr">
        <is>
          <t>USA</t>
        </is>
      </c>
      <c r="B19" s="13" t="inlineStr">
        <is>
          <t>Alto</t>
        </is>
      </c>
      <c r="C19" s="26">
        <f>Supuestos!$B$20</f>
        <v/>
      </c>
      <c r="D19" s="32">
        <f>Supuestos!$B$5/C19</f>
        <v/>
      </c>
      <c r="E19" s="32">
        <f>Supuestos!$E$15</f>
        <v/>
      </c>
      <c r="F19" s="32">
        <f>E19-D19</f>
        <v/>
      </c>
      <c r="G19" s="34">
        <f>IF(E19=0,0,F19/E19)</f>
        <v/>
      </c>
      <c r="H19" s="34">
        <f>Supuestos!$C$15</f>
        <v/>
      </c>
      <c r="I19" s="32">
        <f>F19*(1-H19)</f>
        <v/>
      </c>
      <c r="J19" s="25">
        <f>I19*C19</f>
        <v/>
      </c>
      <c r="K19" s="25">
        <f>J19*12</f>
        <v/>
      </c>
    </row>
    <row r="21">
      <c r="A21" s="3" t="inlineStr">
        <is>
          <t>Fila sombreada = escenario base (Medio). Precios y volúmenes se editan en 'Supuestos'.</t>
        </is>
      </c>
    </row>
  </sheetData>
  <mergeCells count="3">
    <mergeCell ref="A2:K2"/>
    <mergeCell ref="A1:K1"/>
    <mergeCell ref="A21:K2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0"/>
  <sheetViews>
    <sheetView showGridLines="0" workbookViewId="0">
      <selection activeCell="A1" sqref="A1"/>
    </sheetView>
  </sheetViews>
  <sheetFormatPr baseColWidth="8" defaultRowHeight="15"/>
  <cols>
    <col width="14" customWidth="1" min="1" max="1"/>
    <col width="15" customWidth="1" min="2" max="2"/>
    <col width="15" customWidth="1" min="3" max="3"/>
    <col width="15" customWidth="1" min="4" max="4"/>
    <col width="15" customWidth="1" min="5" max="5"/>
    <col width="15" customWidth="1" min="6" max="6"/>
  </cols>
  <sheetData>
    <row r="1">
      <c r="A1" s="1" t="inlineStr">
        <is>
          <t>Renta Pasiva Neta Anual por Modalidad y Punto de Equilibrio, por País (USD)</t>
        </is>
      </c>
    </row>
    <row r="2">
      <c r="A2" s="3" t="inlineStr">
        <is>
          <t>Break-even = estudios/mes para cubrir el costo fijo de Rumotech. En mercados baratos sube y el piso mensual se vuelve clave.</t>
        </is>
      </c>
    </row>
    <row r="4" ht="30" customHeight="1">
      <c r="A4" s="12" t="inlineStr">
        <is>
          <t>País</t>
        </is>
      </c>
      <c r="B4" s="12" t="inlineStr">
        <is>
          <t>Renta anual
Bajo</t>
        </is>
      </c>
      <c r="C4" s="12" t="inlineStr">
        <is>
          <t>Renta anual
Medio</t>
        </is>
      </c>
      <c r="D4" s="12" t="inlineStr">
        <is>
          <t>Renta anual
Alto</t>
        </is>
      </c>
      <c r="E4" s="12" t="inlineStr">
        <is>
          <t>Break-even
(est./mes)</t>
        </is>
      </c>
      <c r="F4" s="12" t="inlineStr">
        <is>
          <t>Take-rate</t>
        </is>
      </c>
    </row>
    <row r="5">
      <c r="A5" s="13" t="inlineStr">
        <is>
          <t>Chile</t>
        </is>
      </c>
      <c r="B5" s="25">
        <f>'Modelo por Estudio'!K5</f>
        <v/>
      </c>
      <c r="C5" s="25">
        <f>'Modelo por Estudio'!K6</f>
        <v/>
      </c>
      <c r="D5" s="25">
        <f>'Modelo por Estudio'!K7</f>
        <v/>
      </c>
      <c r="E5" s="26">
        <f>Supuestos!$B$5/Supuestos!$E$11</f>
        <v/>
      </c>
      <c r="F5" s="17">
        <f>Supuestos!$F$11</f>
        <v/>
      </c>
    </row>
    <row r="6">
      <c r="A6" s="13" t="inlineStr">
        <is>
          <t>Uruguay</t>
        </is>
      </c>
      <c r="B6" s="25">
        <f>'Modelo por Estudio'!K8</f>
        <v/>
      </c>
      <c r="C6" s="25">
        <f>'Modelo por Estudio'!K9</f>
        <v/>
      </c>
      <c r="D6" s="25">
        <f>'Modelo por Estudio'!K10</f>
        <v/>
      </c>
      <c r="E6" s="26">
        <f>Supuestos!$B$5/Supuestos!$E$12</f>
        <v/>
      </c>
      <c r="F6" s="17">
        <f>Supuestos!$F$12</f>
        <v/>
      </c>
    </row>
    <row r="7">
      <c r="A7" s="13" t="inlineStr">
        <is>
          <t>Argentina</t>
        </is>
      </c>
      <c r="B7" s="25">
        <f>'Modelo por Estudio'!K11</f>
        <v/>
      </c>
      <c r="C7" s="25">
        <f>'Modelo por Estudio'!K12</f>
        <v/>
      </c>
      <c r="D7" s="25">
        <f>'Modelo por Estudio'!K13</f>
        <v/>
      </c>
      <c r="E7" s="26">
        <f>Supuestos!$B$5/Supuestos!$E$13</f>
        <v/>
      </c>
      <c r="F7" s="17">
        <f>Supuestos!$F$13</f>
        <v/>
      </c>
    </row>
    <row r="8">
      <c r="A8" s="13" t="inlineStr">
        <is>
          <t>Colombia</t>
        </is>
      </c>
      <c r="B8" s="25">
        <f>'Modelo por Estudio'!K14</f>
        <v/>
      </c>
      <c r="C8" s="25">
        <f>'Modelo por Estudio'!K15</f>
        <v/>
      </c>
      <c r="D8" s="25">
        <f>'Modelo por Estudio'!K16</f>
        <v/>
      </c>
      <c r="E8" s="26">
        <f>Supuestos!$B$5/Supuestos!$E$14</f>
        <v/>
      </c>
      <c r="F8" s="17">
        <f>Supuestos!$F$14</f>
        <v/>
      </c>
    </row>
    <row r="9">
      <c r="A9" s="13" t="inlineStr">
        <is>
          <t>USA</t>
        </is>
      </c>
      <c r="B9" s="25">
        <f>'Modelo por Estudio'!K17</f>
        <v/>
      </c>
      <c r="C9" s="25">
        <f>'Modelo por Estudio'!K18</f>
        <v/>
      </c>
      <c r="D9" s="25">
        <f>'Modelo por Estudio'!K19</f>
        <v/>
      </c>
      <c r="E9" s="26">
        <f>Supuestos!$B$5/Supuestos!$E$15</f>
        <v/>
      </c>
      <c r="F9" s="17">
        <f>Supuestos!$F$15</f>
        <v/>
      </c>
    </row>
    <row r="10">
      <c r="A10" s="27" t="inlineStr">
        <is>
          <t>Promedio</t>
        </is>
      </c>
      <c r="B10" s="30">
        <f>AVERAGE(B5:B9)</f>
        <v/>
      </c>
      <c r="C10" s="30">
        <f>AVERAGE(C5:C9)</f>
        <v/>
      </c>
      <c r="D10" s="30">
        <f>AVERAGE(D5:D9)</f>
        <v/>
      </c>
      <c r="E10" s="40" t="n"/>
      <c r="F10" s="40" t="n"/>
    </row>
  </sheetData>
  <mergeCells count="2">
    <mergeCell ref="A2:F2"/>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1"/>
  <sheetViews>
    <sheetView showGridLines="0" workbookViewId="0">
      <selection activeCell="A1" sqref="A1"/>
    </sheetView>
  </sheetViews>
  <sheetFormatPr baseColWidth="8" defaultRowHeight="15"/>
  <cols>
    <col width="14"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Comparativo de Precios por País — escenario base (500 estudios/mes)</t>
        </is>
      </c>
    </row>
    <row r="2">
      <c r="A2" s="3" t="inlineStr">
        <is>
          <t>Muestra cómo el precio segmentado sostiene la renta en mercados caros y por qué el costo fijo aprieta el margen en los baratos.</t>
        </is>
      </c>
    </row>
    <row r="4" ht="30" customHeight="1">
      <c r="A4" s="12" t="inlineStr">
        <is>
          <t>País</t>
        </is>
      </c>
      <c r="B4" s="12" t="inlineStr">
        <is>
          <t>Valor ref.
estudio (USD)</t>
        </is>
      </c>
      <c r="C4" s="12" t="inlineStr">
        <is>
          <t>Precio SaaS
/estudio (USD)</t>
        </is>
      </c>
      <c r="D4" s="12" t="inlineStr">
        <is>
          <t>Take-rate</t>
        </is>
      </c>
      <c r="E4" s="12" t="inlineStr">
        <is>
          <t>Break-even
(est./mes)</t>
        </is>
      </c>
      <c r="F4" s="12" t="inlineStr">
        <is>
          <t>Renta neta
/estudio (Medio)</t>
        </is>
      </c>
      <c r="G4" s="12" t="inlineStr">
        <is>
          <t>Renta neta
anual (Medio)</t>
        </is>
      </c>
    </row>
    <row r="5">
      <c r="A5" s="13" t="inlineStr">
        <is>
          <t>Chile</t>
        </is>
      </c>
      <c r="B5" s="25">
        <f>Supuestos!$D$11</f>
        <v/>
      </c>
      <c r="C5" s="32">
        <f>Supuestos!$E$11</f>
        <v/>
      </c>
      <c r="D5" s="17">
        <f>Supuestos!$F$11</f>
        <v/>
      </c>
      <c r="E5" s="26">
        <f>Supuestos!$B$5/Supuestos!$E$11</f>
        <v/>
      </c>
      <c r="F5" s="32">
        <f>'Modelo por Estudio'!I6</f>
        <v/>
      </c>
      <c r="G5" s="25">
        <f>'Modelo por Estudio'!K6</f>
        <v/>
      </c>
    </row>
    <row r="6">
      <c r="A6" s="13" t="inlineStr">
        <is>
          <t>Uruguay</t>
        </is>
      </c>
      <c r="B6" s="25">
        <f>Supuestos!$D$12</f>
        <v/>
      </c>
      <c r="C6" s="32">
        <f>Supuestos!$E$12</f>
        <v/>
      </c>
      <c r="D6" s="17">
        <f>Supuestos!$F$12</f>
        <v/>
      </c>
      <c r="E6" s="26">
        <f>Supuestos!$B$5/Supuestos!$E$12</f>
        <v/>
      </c>
      <c r="F6" s="32">
        <f>'Modelo por Estudio'!I9</f>
        <v/>
      </c>
      <c r="G6" s="25">
        <f>'Modelo por Estudio'!K9</f>
        <v/>
      </c>
    </row>
    <row r="7">
      <c r="A7" s="41" t="inlineStr">
        <is>
          <t>Argentina</t>
        </is>
      </c>
      <c r="B7" s="42">
        <f>Supuestos!$D$13</f>
        <v/>
      </c>
      <c r="C7" s="43">
        <f>Supuestos!$E$13</f>
        <v/>
      </c>
      <c r="D7" s="44">
        <f>Supuestos!$F$13</f>
        <v/>
      </c>
      <c r="E7" s="45">
        <f>Supuestos!$B$5/Supuestos!$E$13</f>
        <v/>
      </c>
      <c r="F7" s="43">
        <f>'Modelo por Estudio'!I12</f>
        <v/>
      </c>
      <c r="G7" s="42">
        <f>'Modelo por Estudio'!K12</f>
        <v/>
      </c>
    </row>
    <row r="8">
      <c r="A8" s="13" t="inlineStr">
        <is>
          <t>Colombia</t>
        </is>
      </c>
      <c r="B8" s="25">
        <f>Supuestos!$D$14</f>
        <v/>
      </c>
      <c r="C8" s="32">
        <f>Supuestos!$E$14</f>
        <v/>
      </c>
      <c r="D8" s="17">
        <f>Supuestos!$F$14</f>
        <v/>
      </c>
      <c r="E8" s="26">
        <f>Supuestos!$B$5/Supuestos!$E$14</f>
        <v/>
      </c>
      <c r="F8" s="32">
        <f>'Modelo por Estudio'!I15</f>
        <v/>
      </c>
      <c r="G8" s="25">
        <f>'Modelo por Estudio'!K15</f>
        <v/>
      </c>
    </row>
    <row r="9">
      <c r="A9" s="13" t="inlineStr">
        <is>
          <t>USA</t>
        </is>
      </c>
      <c r="B9" s="25">
        <f>Supuestos!$D$15</f>
        <v/>
      </c>
      <c r="C9" s="32">
        <f>Supuestos!$E$15</f>
        <v/>
      </c>
      <c r="D9" s="17">
        <f>Supuestos!$F$15</f>
        <v/>
      </c>
      <c r="E9" s="26">
        <f>Supuestos!$B$5/Supuestos!$E$15</f>
        <v/>
      </c>
      <c r="F9" s="32">
        <f>'Modelo por Estudio'!I18</f>
        <v/>
      </c>
      <c r="G9" s="25">
        <f>'Modelo por Estudio'!K18</f>
        <v/>
      </c>
    </row>
    <row r="11">
      <c r="A11" s="3" t="inlineStr">
        <is>
          <t>Argentina resaltado: precio bajo → break-even alto y renta fina. El piso mensual y/o renegociar el costo fijo de Rumotech son las palancas para ese mercado.</t>
        </is>
      </c>
    </row>
  </sheetData>
  <mergeCells count="3">
    <mergeCell ref="A11:G11"/>
    <mergeCell ref="A2:G2"/>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2026-07-15T19:42:25Z</dcterms:created>
  <dcterms:modified xsi:type="dcterms:W3CDTF">2026-07-15T19:42:25Z</dcterms:modified>
</cp:coreProperties>
</file>