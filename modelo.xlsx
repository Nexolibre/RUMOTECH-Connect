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Supuestos" sheetId="2" state="visible" r:id="rId2"/>
    <sheet name="Calculadora" sheetId="3" state="visible" r:id="rId3"/>
    <sheet name="Modelo por Estudio" sheetId="4" state="visible" r:id="rId4"/>
    <sheet name="Renta Anual" sheetId="5" state="visible" r:id="rId5"/>
    <sheet name="Precios por País" sheetId="6" state="visible" r:id="rId6"/>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Arial"/>
      <b val="1"/>
      <color rgb="001F3864"/>
      <sz val="15"/>
    </font>
    <font>
      <name val="Arial"/>
      <i val="1"/>
      <color rgb="00808080"/>
      <sz val="8"/>
    </font>
    <font>
      <name val="Arial"/>
      <b val="1"/>
      <color rgb="001F3864"/>
      <sz val="11"/>
    </font>
    <font>
      <name val="Arial"/>
      <color rgb="00000000"/>
      <sz val="10"/>
    </font>
    <font>
      <name val="Arial"/>
      <color rgb="000000FF"/>
      <sz val="10"/>
    </font>
    <font>
      <name val="Arial"/>
      <b val="1"/>
      <color rgb="00FFFFFF"/>
      <sz val="10"/>
    </font>
    <font>
      <name val="Arial"/>
      <b val="1"/>
      <sz val="10"/>
    </font>
  </fonts>
  <fills count="7">
    <fill>
      <patternFill/>
    </fill>
    <fill>
      <patternFill patternType="gray125"/>
    </fill>
    <fill>
      <patternFill patternType="solid">
        <fgColor rgb="00FFFF00"/>
      </patternFill>
    </fill>
    <fill>
      <patternFill patternType="solid">
        <fgColor rgb="001F3864"/>
      </patternFill>
    </fill>
    <fill>
      <patternFill patternType="solid">
        <fgColor rgb="00E2EFDA"/>
      </patternFill>
    </fill>
    <fill>
      <patternFill patternType="solid">
        <fgColor rgb="00D9E1F2"/>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44">
    <xf numFmtId="0" fontId="0" fillId="0" borderId="0" pivotButton="0" quotePrefix="0" xfId="0"/>
    <xf numFmtId="0" fontId="1" fillId="0" borderId="0" pivotButton="0" quotePrefix="0" xfId="0"/>
    <xf numFmtId="0" fontId="3" fillId="0" borderId="0" pivotButton="0" quotePrefix="0" xfId="0"/>
    <xf numFmtId="0" fontId="2" fillId="0" borderId="0" pivotButton="0" quotePrefix="0" xfId="0"/>
    <xf numFmtId="0" fontId="4" fillId="0" borderId="0" applyAlignment="1" pivotButton="0" quotePrefix="0" xfId="0">
      <alignment horizontal="left" vertical="center" wrapText="1"/>
    </xf>
    <xf numFmtId="0" fontId="4" fillId="0" borderId="0" pivotButton="0" quotePrefix="0" xfId="0"/>
    <xf numFmtId="164" fontId="7" fillId="4" borderId="1" applyAlignment="1" pivotButton="0" quotePrefix="0" xfId="0">
      <alignment horizontal="center" vertical="center"/>
    </xf>
    <xf numFmtId="0" fontId="0" fillId="0" borderId="4" pivotButton="0" quotePrefix="0" xfId="0"/>
    <xf numFmtId="166" fontId="7" fillId="4" borderId="1" applyAlignment="1" pivotButton="0" quotePrefix="0" xfId="0">
      <alignment horizontal="center" vertical="center"/>
    </xf>
    <xf numFmtId="3" fontId="7" fillId="4" borderId="1" applyAlignment="1" pivotButton="0" quotePrefix="0" xfId="0">
      <alignment horizontal="center" vertical="center"/>
    </xf>
    <xf numFmtId="164" fontId="5" fillId="2" borderId="0" pivotButton="0" quotePrefix="0" xfId="0"/>
    <xf numFmtId="164" fontId="0" fillId="0" borderId="0" pivotButton="0" quotePrefix="0" xfId="0"/>
    <xf numFmtId="0" fontId="6" fillId="3" borderId="1" applyAlignment="1" pivotButton="0" quotePrefix="0" xfId="0">
      <alignment horizontal="center" vertical="center" wrapText="1"/>
    </xf>
    <xf numFmtId="0" fontId="4" fillId="0" borderId="1" applyAlignment="1" pivotButton="0" quotePrefix="0" xfId="0">
      <alignment horizontal="left" vertical="center" wrapText="1"/>
    </xf>
    <xf numFmtId="165" fontId="5" fillId="0" borderId="1" applyAlignment="1" pivotButton="0" quotePrefix="0" xfId="0">
      <alignment horizontal="center" vertical="center"/>
    </xf>
    <xf numFmtId="164" fontId="5" fillId="0" borderId="1" applyAlignment="1" pivotButton="0" quotePrefix="0" xfId="0">
      <alignment horizontal="center" vertical="center"/>
    </xf>
    <xf numFmtId="166" fontId="5" fillId="2" borderId="1" applyAlignment="1" pivotButton="0" quotePrefix="0" xfId="0">
      <alignment horizontal="center" vertical="center"/>
    </xf>
    <xf numFmtId="10" fontId="0" fillId="0" borderId="1" applyAlignment="1" pivotButton="0" quotePrefix="0" xfId="0">
      <alignment horizontal="center" vertical="center"/>
    </xf>
    <xf numFmtId="3" fontId="5" fillId="0" borderId="0" pivotButton="0" quotePrefix="0" xfId="0"/>
    <xf numFmtId="164" fontId="5" fillId="0" borderId="0" pivotButton="0" quotePrefix="0" xfId="0"/>
    <xf numFmtId="0" fontId="5" fillId="2" borderId="1" applyAlignment="1" pivotButton="0" quotePrefix="0" xfId="0">
      <alignment horizontal="center" vertical="center"/>
    </xf>
    <xf numFmtId="3" fontId="5" fillId="2" borderId="1" applyAlignment="1" pivotButton="0" quotePrefix="0" xfId="0">
      <alignment horizontal="center" vertical="center"/>
    </xf>
    <xf numFmtId="0" fontId="0" fillId="0" borderId="1" applyAlignment="1" pivotButton="0" quotePrefix="0" xfId="0">
      <alignment horizontal="center" vertical="center"/>
    </xf>
    <xf numFmtId="164" fontId="0" fillId="0" borderId="1" applyAlignment="1" pivotButton="0" quotePrefix="0" xfId="0">
      <alignment horizontal="center" vertical="center"/>
    </xf>
    <xf numFmtId="3" fontId="0" fillId="0" borderId="1" applyAlignment="1" pivotButton="0" quotePrefix="0" xfId="0">
      <alignment horizontal="center" vertical="center"/>
    </xf>
    <xf numFmtId="0" fontId="7" fillId="5" borderId="1" pivotButton="0" quotePrefix="0" xfId="0"/>
    <xf numFmtId="0" fontId="0" fillId="5" borderId="1" applyAlignment="1" pivotButton="0" quotePrefix="0" xfId="0">
      <alignment horizontal="center" vertical="center"/>
    </xf>
    <xf numFmtId="0" fontId="7" fillId="5" borderId="1" applyAlignment="1" pivotButton="0" quotePrefix="0" xfId="0">
      <alignment horizontal="center" vertical="center"/>
    </xf>
    <xf numFmtId="164" fontId="7" fillId="5" borderId="1" applyAlignment="1" pivotButton="0" quotePrefix="0" xfId="0">
      <alignment horizontal="center" vertical="center"/>
    </xf>
    <xf numFmtId="3" fontId="7" fillId="5" borderId="1" applyAlignment="1" pivotButton="0" quotePrefix="0" xfId="0">
      <alignment horizontal="center" vertical="center"/>
    </xf>
    <xf numFmtId="166" fontId="0" fillId="0" borderId="1" applyAlignment="1" pivotButton="0" quotePrefix="0" xfId="0">
      <alignment horizontal="center" vertical="center"/>
    </xf>
    <xf numFmtId="166" fontId="0" fillId="5" borderId="1" applyAlignment="1" pivotButton="0" quotePrefix="0" xfId="0">
      <alignment horizontal="center" vertical="center"/>
    </xf>
    <xf numFmtId="165" fontId="0" fillId="0" borderId="1" applyAlignment="1" pivotButton="0" quotePrefix="0" xfId="0">
      <alignment horizontal="center" vertical="center"/>
    </xf>
    <xf numFmtId="0" fontId="4" fillId="4" borderId="1" applyAlignment="1" pivotButton="0" quotePrefix="0" xfId="0">
      <alignment horizontal="left" vertical="center" wrapText="1"/>
    </xf>
    <xf numFmtId="3" fontId="0" fillId="4" borderId="1" applyAlignment="1" pivotButton="0" quotePrefix="0" xfId="0">
      <alignment horizontal="center" vertical="center"/>
    </xf>
    <xf numFmtId="166" fontId="0" fillId="4" borderId="1" applyAlignment="1" pivotButton="0" quotePrefix="0" xfId="0">
      <alignment horizontal="center" vertical="center"/>
    </xf>
    <xf numFmtId="165" fontId="0" fillId="4" borderId="1" applyAlignment="1" pivotButton="0" quotePrefix="0" xfId="0">
      <alignment horizontal="center" vertical="center"/>
    </xf>
    <xf numFmtId="164" fontId="0" fillId="4" borderId="1" applyAlignment="1" pivotButton="0" quotePrefix="0" xfId="0">
      <alignment horizontal="center" vertical="center"/>
    </xf>
    <xf numFmtId="0" fontId="0" fillId="5" borderId="1" pivotButton="0" quotePrefix="0" xfId="0"/>
    <xf numFmtId="0" fontId="4" fillId="6" borderId="1" applyAlignment="1" pivotButton="0" quotePrefix="0" xfId="0">
      <alignment horizontal="left" vertical="center" wrapText="1"/>
    </xf>
    <xf numFmtId="164" fontId="0" fillId="6" borderId="1" applyAlignment="1" pivotButton="0" quotePrefix="0" xfId="0">
      <alignment horizontal="center" vertical="center"/>
    </xf>
    <xf numFmtId="166" fontId="0" fillId="6" borderId="1" applyAlignment="1" pivotButton="0" quotePrefix="0" xfId="0">
      <alignment horizontal="center" vertical="center"/>
    </xf>
    <xf numFmtId="10" fontId="0" fillId="6" borderId="1" applyAlignment="1" pivotButton="0" quotePrefix="0" xfId="0">
      <alignment horizontal="center" vertical="center"/>
    </xf>
    <xf numFmtId="3" fontId="0" fillId="6"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omments/comment1.xml><?xml version="1.0" encoding="utf-8"?>
<comments xmlns="http://schemas.openxmlformats.org/spreadsheetml/2006/main">
  <authors>
    <author>Modelo</author>
  </authors>
  <commentList>
    <comment ref="B5" authorId="0" shapeId="0">
      <text>
        <t>Costo fijo que Rumotech traslada a NexoLibre por modalidad activa. Es en USD y NO varía por país: por eso fija un precio mínimo viable por estudio en cada mercado.</t>
      </text>
    </comment>
    <comment ref="D11" authorId="0" shapeId="0">
      <text>
        <t>Valor de referencia de un estudio de RM en USD (estimado, orientativo). Argentina/Colombia usan el reembolso realizado en USD (bajo/volátil), no el precio particular. VALIDAR con aranceles locales reales.</t>
      </text>
    </comment>
    <comment ref="E11" authorId="0" shapeId="0">
      <text>
        <t>PALANCA PRINCIPAL POR PAÍS. Precio por estudio facturado al centro, neto de IVA. Editable por país. Recomendado: USA 2,00 · Chile 1,20 · Uruguay 1,00 · Colombia 0,60 · Argentina 0,40.</t>
      </text>
    </comment>
    <comment ref="B23" authorId="0" shapeId="0">
      <text>
        <t>Mínimo mensual por modalidad. Clave en mercados baratos (Argentina/Colombia): garantiza cubrir el costo fijo de Rumotech aunque el volumen sea bajo. Puede calibrarse por país.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4"/>
  <sheetViews>
    <sheetView showGridLines="0" workbookViewId="0">
      <selection activeCell="A1" sqref="A1"/>
    </sheetView>
  </sheetViews>
  <sheetFormatPr baseColWidth="8" defaultRowHeight="15"/>
  <cols>
    <col width="30" customWidth="1" min="1" max="1"/>
    <col width="14" customWidth="1" min="2" max="2"/>
    <col width="14" customWidth="1" min="3" max="3"/>
    <col width="14" customWidth="1" min="4" max="4"/>
    <col width="14" customWidth="1" min="5" max="5"/>
    <col width="14" customWidth="1" min="6" max="6"/>
  </cols>
  <sheetData>
    <row r="1">
      <c r="A1" s="1" t="inlineStr">
        <is>
          <t>RUMOTECH CONNECT — Modelo de Comercialización NexoLibre</t>
        </is>
      </c>
    </row>
    <row r="2">
      <c r="A2" s="2" t="inlineStr">
        <is>
          <t>Tarifa variable por estudio, SEGMENTADA POR PAÍS · Chile · Uruguay · Argentina · Colombia · USA</t>
        </is>
      </c>
    </row>
    <row r="3">
      <c r="A3" s="3" t="inlineStr">
        <is>
          <t>Confidencial · 13 de julio de 2026 · Modelo vivo — editar inputs en 'Supuestos'</t>
        </is>
      </c>
    </row>
    <row r="5">
      <c r="A5" s="2" t="inlineStr">
        <is>
          <t>LA IDEA EN UNA LÍNEA</t>
        </is>
      </c>
    </row>
    <row r="6">
      <c r="A6" s="4" t="inlineStr">
        <is>
          <t>Rumotech traslada a NexoLibre un costo FIJO por modalidad (USD, igual en todos los países). NexoLibre revende como precio VARIABLE por estudio, ajustado al valor del estudio en cada mercado. El spread neto de impuestos es la renta pasiva por servicio.</t>
        </is>
      </c>
    </row>
    <row r="7"/>
    <row r="9">
      <c r="A9" s="2" t="inlineStr">
        <is>
          <t>PALANCAS Y RESULTADOS CLAVE</t>
        </is>
      </c>
    </row>
    <row r="10">
      <c r="A10" s="5" t="inlineStr">
        <is>
          <t>Costo fijo Rumotech / modalidad / mes (USD, fijo global)</t>
        </is>
      </c>
      <c r="E10" s="6">
        <f>Supuestos!$B$5</f>
        <v/>
      </c>
      <c r="F10" s="7" t="n"/>
    </row>
    <row r="11">
      <c r="A11" s="5" t="inlineStr">
        <is>
          <t>Precio SaaS / estudio — USA (mercado más caro)</t>
        </is>
      </c>
      <c r="E11" s="8">
        <f>Supuestos!$E$15</f>
        <v/>
      </c>
      <c r="F11" s="7" t="n"/>
    </row>
    <row r="12">
      <c r="A12" s="5" t="inlineStr">
        <is>
          <t>Precio SaaS / estudio — Argentina (mercado más barato)</t>
        </is>
      </c>
      <c r="E12" s="8">
        <f>Supuestos!$E$13</f>
        <v/>
      </c>
      <c r="F12" s="7" t="n"/>
    </row>
    <row r="13">
      <c r="A13" s="5" t="inlineStr">
        <is>
          <t>Renta neta anual / modalidad — Medio (prom. países)</t>
        </is>
      </c>
      <c r="E13" s="6">
        <f>AVERAGE('Renta Anual'!C5:C9)</f>
        <v/>
      </c>
      <c r="F13" s="7" t="n"/>
    </row>
    <row r="14">
      <c r="A14" s="5" t="inlineStr">
        <is>
          <t>Break-even Argentina (estudios/mes)</t>
        </is>
      </c>
      <c r="E14" s="9">
        <f>Supuestos!$B$5/Supuestos!$E$13</f>
        <v/>
      </c>
      <c r="F14" s="7" t="n"/>
    </row>
    <row r="15">
      <c r="A15" s="5" t="inlineStr">
        <is>
          <t>Break-even USA (estudios/mes)</t>
        </is>
      </c>
      <c r="E15" s="9">
        <f>Supuestos!$B$5/Supuestos!$E$15</f>
        <v/>
      </c>
      <c r="F15" s="7" t="n"/>
    </row>
    <row r="17">
      <c r="A17" s="2" t="inlineStr">
        <is>
          <t>RECOMENDACIÓN</t>
        </is>
      </c>
    </row>
    <row r="18">
      <c r="A18" s="4" t="inlineStr">
        <is>
          <t>Precio segmentado por país anclado a ~0,5–0,6% del valor del estudio local: USA 2,00 · Chile 1,20 · Uruguay 1,00 · Colombia 0,60 · Argentina 0,40 (neto de IVA). Como el costo de Rumotech es fijo en USD, en mercados baratos el precio no puede caer más sin licuar el margen: allí el punto de equilibrio en volumen sube (Argentina ~250 est./mes) y el piso mensual protege la renta. Para escalar en Argentina/Colombia conviene, además, negociar con Rumotech un costo fijo menor.</t>
        </is>
      </c>
    </row>
    <row r="19"/>
    <row r="20"/>
    <row r="21"/>
    <row r="22"/>
    <row r="24">
      <c r="A24" s="3" t="inlineStr">
        <is>
          <t>Hojas: Supuestos · Modelo por Estudio · Renta Anual · Precios por País</t>
        </is>
      </c>
    </row>
  </sheetData>
  <mergeCells count="18">
    <mergeCell ref="A24:F24"/>
    <mergeCell ref="A2:F2"/>
    <mergeCell ref="E12:F12"/>
    <mergeCell ref="A6:F7"/>
    <mergeCell ref="E15:F15"/>
    <mergeCell ref="E10:F10"/>
    <mergeCell ref="A12:D12"/>
    <mergeCell ref="A1:F1"/>
    <mergeCell ref="E11:F11"/>
    <mergeCell ref="A15:D15"/>
    <mergeCell ref="A18:F22"/>
    <mergeCell ref="E13:F13"/>
    <mergeCell ref="E14:F14"/>
    <mergeCell ref="A11:D11"/>
    <mergeCell ref="A3:F3"/>
    <mergeCell ref="A10:D10"/>
    <mergeCell ref="A13:D13"/>
    <mergeCell ref="A14:D1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3"/>
  <sheetViews>
    <sheetView showGridLines="0" workbookViewId="0">
      <selection activeCell="A1" sqref="A1"/>
    </sheetView>
  </sheetViews>
  <sheetFormatPr baseColWidth="8" defaultRowHeight="15"/>
  <cols>
    <col width="44" customWidth="1" min="1" max="1"/>
    <col width="14" customWidth="1" min="2" max="2"/>
    <col width="14" customWidth="1" min="3" max="3"/>
    <col width="15" customWidth="1" min="4" max="4"/>
    <col width="14" customWidth="1" min="5" max="5"/>
    <col width="15" customWidth="1" min="6" max="6"/>
  </cols>
  <sheetData>
    <row r="1">
      <c r="A1" s="1" t="inlineStr">
        <is>
          <t>RUMOTECH CONNECT · Modelo de Comercialización NexoLibre — Supuestos e Inputs</t>
        </is>
      </c>
    </row>
    <row r="2">
      <c r="A2" s="3" t="inlineStr">
        <is>
          <t>AZUL = inputs editables · AMARILLO = palanca clave · Todo lo demás se recalcula.</t>
        </is>
      </c>
    </row>
    <row r="4">
      <c r="A4" s="2" t="inlineStr">
        <is>
          <t>1 · COSTO (Rumotech → NexoLibre) — FIJO en USD, igual para todos los países</t>
        </is>
      </c>
    </row>
    <row r="5">
      <c r="A5" s="5" t="inlineStr">
        <is>
          <t>Costo fijo por modalidad por mes (USD)</t>
        </is>
      </c>
      <c r="B5" s="10" t="n">
        <v>100</v>
      </c>
    </row>
    <row r="6">
      <c r="A6" s="5" t="inlineStr">
        <is>
          <t>Costo fijo por modalidad por año (USD)</t>
        </is>
      </c>
      <c r="B6" s="11">
        <f>Supuestos!$B$5*12</f>
        <v/>
      </c>
    </row>
    <row r="8">
      <c r="A8" s="2" t="inlineStr">
        <is>
          <t>2 · PRECIO POR ESTUDIO SEGMENTADO POR PAÍS</t>
        </is>
      </c>
    </row>
    <row r="9">
      <c r="A9" s="3" t="inlineStr">
        <is>
          <t>Metodología: el precio del SaaS por estudio se ancla a un % pequeño del valor de un estudio (RM) en cada país. En mercados baratos/volátiles el precio baja, pero NO por debajo del piso que impone el costo fijo de Rumotech.</t>
        </is>
      </c>
    </row>
    <row r="10" ht="28" customHeight="1">
      <c r="A10" s="12" t="inlineStr">
        <is>
          <t>País</t>
        </is>
      </c>
      <c r="B10" s="12" t="inlineStr">
        <is>
          <t>IVA / consumo</t>
        </is>
      </c>
      <c r="C10" s="12" t="inlineStr">
        <is>
          <t>Imp. a la renta</t>
        </is>
      </c>
      <c r="D10" s="12" t="inlineStr">
        <is>
          <t>Valor ref. estudio
RM (USD)</t>
        </is>
      </c>
      <c r="E10" s="12" t="inlineStr">
        <is>
          <t>Precio SaaS
/estudio (USD)</t>
        </is>
      </c>
      <c r="F10" s="12" t="inlineStr">
        <is>
          <t>Take-rate
(% del estudio)</t>
        </is>
      </c>
    </row>
    <row r="11">
      <c r="A11" s="13" t="inlineStr">
        <is>
          <t>Chile</t>
        </is>
      </c>
      <c r="B11" s="14" t="n">
        <v>0.19</v>
      </c>
      <c r="C11" s="14" t="n">
        <v>0.27</v>
      </c>
      <c r="D11" s="15" t="n">
        <v>200</v>
      </c>
      <c r="E11" s="16" t="n">
        <v>1.2</v>
      </c>
      <c r="F11" s="17">
        <f>IF(D11=0,0,E11/D11)</f>
        <v/>
      </c>
    </row>
    <row r="12">
      <c r="A12" s="13" t="inlineStr">
        <is>
          <t>Uruguay</t>
        </is>
      </c>
      <c r="B12" s="14" t="n">
        <v>0.22</v>
      </c>
      <c r="C12" s="14" t="n">
        <v>0.25</v>
      </c>
      <c r="D12" s="15" t="n">
        <v>180</v>
      </c>
      <c r="E12" s="16" t="n">
        <v>1</v>
      </c>
      <c r="F12" s="17">
        <f>IF(D12=0,0,E12/D12)</f>
        <v/>
      </c>
    </row>
    <row r="13">
      <c r="A13" s="13" t="inlineStr">
        <is>
          <t>Argentina</t>
        </is>
      </c>
      <c r="B13" s="14" t="n">
        <v>0.21</v>
      </c>
      <c r="C13" s="14" t="n">
        <v>0.35</v>
      </c>
      <c r="D13" s="15" t="n">
        <v>80</v>
      </c>
      <c r="E13" s="16" t="n">
        <v>0.4</v>
      </c>
      <c r="F13" s="17">
        <f>IF(D13=0,0,E13/D13)</f>
        <v/>
      </c>
    </row>
    <row r="14">
      <c r="A14" s="13" t="inlineStr">
        <is>
          <t>Colombia</t>
        </is>
      </c>
      <c r="B14" s="14" t="n">
        <v>0.19</v>
      </c>
      <c r="C14" s="14" t="n">
        <v>0.35</v>
      </c>
      <c r="D14" s="15" t="n">
        <v>120</v>
      </c>
      <c r="E14" s="16" t="n">
        <v>0.6</v>
      </c>
      <c r="F14" s="17">
        <f>IF(D14=0,0,E14/D14)</f>
        <v/>
      </c>
    </row>
    <row r="15">
      <c r="A15" s="13" t="inlineStr">
        <is>
          <t>USA</t>
        </is>
      </c>
      <c r="B15" s="14" t="n">
        <v>0</v>
      </c>
      <c r="C15" s="14" t="n">
        <v>0.21</v>
      </c>
      <c r="D15" s="15" t="n">
        <v>400</v>
      </c>
      <c r="E15" s="16" t="n">
        <v>2</v>
      </c>
      <c r="F15" s="17">
        <f>IF(D15=0,0,E15/D15)</f>
        <v/>
      </c>
    </row>
    <row r="17">
      <c r="A17" s="2" t="inlineStr">
        <is>
          <t>3 · ESCENARIOS DE VOLUMEN (estudios/mes por modalidad)</t>
        </is>
      </c>
    </row>
    <row r="18">
      <c r="A18" s="5" t="inlineStr">
        <is>
          <t>Bajo</t>
        </is>
      </c>
      <c r="B18" s="18" t="n">
        <v>250</v>
      </c>
    </row>
    <row r="19">
      <c r="A19" s="5" t="inlineStr">
        <is>
          <t>Medio</t>
        </is>
      </c>
      <c r="B19" s="18" t="n">
        <v>500</v>
      </c>
    </row>
    <row r="20">
      <c r="A20" s="5" t="inlineStr">
        <is>
          <t>Alto</t>
        </is>
      </c>
      <c r="B20" s="18" t="n">
        <v>900</v>
      </c>
    </row>
    <row r="22">
      <c r="A22" s="2" t="inlineStr">
        <is>
          <t>4 · SALVAGUARDA</t>
        </is>
      </c>
    </row>
    <row r="23">
      <c r="A23" s="5" t="inlineStr">
        <is>
          <t>Piso mensual por modalidad (mínimo facturable, USD)</t>
        </is>
      </c>
      <c r="B23" s="19" t="n">
        <v>200</v>
      </c>
    </row>
  </sheetData>
  <mergeCells count="3">
    <mergeCell ref="A2:F2"/>
    <mergeCell ref="A1:F1"/>
    <mergeCell ref="A9:F9"/>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30" customWidth="1" min="1" max="1"/>
    <col width="12" customWidth="1" min="2" max="2"/>
    <col width="14" customWidth="1" min="3" max="3"/>
    <col width="11" customWidth="1" min="4" max="4"/>
    <col width="15" customWidth="1" min="5" max="5"/>
    <col width="15" customWidth="1" min="6" max="6"/>
  </cols>
  <sheetData>
    <row r="1">
      <c r="A1" s="1" t="inlineStr">
        <is>
          <t>Calculadora de Escenarios — Sedes, Equipos y Rentabilidad por Cliente</t>
        </is>
      </c>
    </row>
    <row r="2">
      <c r="A2" s="3" t="inlineStr">
        <is>
          <t>Clave: el costo de Rumotech es USD 100 por MODALIDAD por SEDE — no por cantidad de equipos. Varios RM/CT en una sede diluyen el costo. Editá las celdas AZULES.</t>
        </is>
      </c>
    </row>
    <row r="4">
      <c r="A4" s="2" t="inlineStr">
        <is>
          <t>CONFIGURACIÓN DEL CLIENTE</t>
        </is>
      </c>
    </row>
    <row r="5">
      <c r="A5" s="5" t="inlineStr">
        <is>
          <t>País</t>
        </is>
      </c>
      <c r="B5" s="20" t="inlineStr">
        <is>
          <t>Argentina</t>
        </is>
      </c>
    </row>
    <row r="6">
      <c r="A6" s="5" t="inlineStr">
        <is>
          <t>Número de sedes</t>
        </is>
      </c>
      <c r="B6" s="21" t="n">
        <v>5</v>
      </c>
    </row>
    <row r="8" ht="28" customHeight="1">
      <c r="A8" s="12" t="inlineStr">
        <is>
          <t>Modalidad</t>
        </is>
      </c>
      <c r="B8" s="12" t="inlineStr">
        <is>
          <t>Equipos
por sede</t>
        </is>
      </c>
      <c r="C8" s="12" t="inlineStr">
        <is>
          <t>Estudios /
equipo / mes</t>
        </is>
      </c>
      <c r="D8" s="12" t="inlineStr">
        <is>
          <t>Modalidad
activa</t>
        </is>
      </c>
      <c r="E8" s="12" t="inlineStr">
        <is>
          <t>Costo Rumotech
/ sede (USD)</t>
        </is>
      </c>
      <c r="F8" s="12" t="inlineStr">
        <is>
          <t>Volumen / sede
(est./mes)</t>
        </is>
      </c>
    </row>
    <row r="9">
      <c r="A9" s="13" t="inlineStr">
        <is>
          <t>Resonancia (RM)</t>
        </is>
      </c>
      <c r="B9" s="21" t="n">
        <v>1</v>
      </c>
      <c r="C9" s="21" t="n">
        <v>500</v>
      </c>
      <c r="D9" s="22">
        <f>IF(B9&gt;0,1,0)</f>
        <v/>
      </c>
      <c r="E9" s="23">
        <f>D9*Supuestos!$B$5</f>
        <v/>
      </c>
      <c r="F9" s="24">
        <f>B9*C9</f>
        <v/>
      </c>
    </row>
    <row r="10">
      <c r="A10" s="13" t="inlineStr">
        <is>
          <t>Tomografía (CT)</t>
        </is>
      </c>
      <c r="B10" s="21" t="n">
        <v>1</v>
      </c>
      <c r="C10" s="21" t="n">
        <v>700</v>
      </c>
      <c r="D10" s="22">
        <f>IF(B10&gt;0,1,0)</f>
        <v/>
      </c>
      <c r="E10" s="23">
        <f>D10*Supuestos!$B$5</f>
        <v/>
      </c>
      <c r="F10" s="24">
        <f>B10*C10</f>
        <v/>
      </c>
    </row>
    <row r="11">
      <c r="A11" s="13" t="inlineStr">
        <is>
          <t>Ultrasonido (US)</t>
        </is>
      </c>
      <c r="B11" s="21" t="n">
        <v>0</v>
      </c>
      <c r="C11" s="21" t="n">
        <v>1000</v>
      </c>
      <c r="D11" s="22">
        <f>IF(B11&gt;0,1,0)</f>
        <v/>
      </c>
      <c r="E11" s="23">
        <f>D11*Supuestos!$B$5</f>
        <v/>
      </c>
      <c r="F11" s="24">
        <f>B11*C11</f>
        <v/>
      </c>
    </row>
    <row r="12">
      <c r="A12" s="13" t="inlineStr">
        <is>
          <t>Rayos X (RX)</t>
        </is>
      </c>
      <c r="B12" s="21" t="n">
        <v>0</v>
      </c>
      <c r="C12" s="21" t="n">
        <v>1200</v>
      </c>
      <c r="D12" s="22">
        <f>IF(B12&gt;0,1,0)</f>
        <v/>
      </c>
      <c r="E12" s="23">
        <f>D12*Supuestos!$B$5</f>
        <v/>
      </c>
      <c r="F12" s="24">
        <f>B12*C12</f>
        <v/>
      </c>
    </row>
    <row r="13">
      <c r="A13" s="13" t="inlineStr">
        <is>
          <t>Mamografía (MG)</t>
        </is>
      </c>
      <c r="B13" s="21" t="n">
        <v>0</v>
      </c>
      <c r="C13" s="21" t="n">
        <v>300</v>
      </c>
      <c r="D13" s="22">
        <f>IF(B13&gt;0,1,0)</f>
        <v/>
      </c>
      <c r="E13" s="23">
        <f>D13*Supuestos!$B$5</f>
        <v/>
      </c>
      <c r="F13" s="24">
        <f>B13*C13</f>
        <v/>
      </c>
    </row>
    <row r="14">
      <c r="A14" s="25" t="inlineStr">
        <is>
          <t>Total por sede</t>
        </is>
      </c>
      <c r="B14" s="26" t="n"/>
      <c r="C14" s="26" t="n"/>
      <c r="D14" s="27">
        <f>SUM(D9:D13)</f>
        <v/>
      </c>
      <c r="E14" s="28">
        <f>SUM(E9:E13)</f>
        <v/>
      </c>
      <c r="F14" s="29">
        <f>SUM(F9:F13)</f>
        <v/>
      </c>
    </row>
    <row r="16">
      <c r="A16" s="2" t="inlineStr">
        <is>
          <t>RESULTADOS DEL CLIENTE (todas las sedes)</t>
        </is>
      </c>
    </row>
    <row r="17">
      <c r="A17" s="5" t="inlineStr">
        <is>
          <t>Modalidades activas por sede</t>
        </is>
      </c>
      <c r="E17" s="24">
        <f>D14</f>
        <v/>
      </c>
      <c r="F17" s="7" t="n"/>
    </row>
    <row r="18">
      <c r="A18" s="5" t="inlineStr">
        <is>
          <t>Costo Rumotech mensual — total cliente (USD)</t>
        </is>
      </c>
      <c r="E18" s="23">
        <f>E14*B6</f>
        <v/>
      </c>
      <c r="F18" s="7" t="n"/>
    </row>
    <row r="19">
      <c r="A19" s="5" t="inlineStr">
        <is>
          <t>Volumen total de estudios / mes</t>
        </is>
      </c>
      <c r="E19" s="24">
        <f>F14*B6</f>
        <v/>
      </c>
      <c r="F19" s="7" t="n"/>
    </row>
    <row r="20">
      <c r="A20" s="5" t="inlineStr">
        <is>
          <t>Precio por estudio — país (USD)</t>
        </is>
      </c>
      <c r="E20" s="30">
        <f>INDEX(Supuestos!$E$11:$E$15,MATCH(B5,Supuestos!$A$11:$A$15,0))</f>
        <v/>
      </c>
      <c r="F20" s="7" t="n"/>
    </row>
    <row r="21">
      <c r="A21" s="5" t="inlineStr">
        <is>
          <t>Costo Rumotech EFECTIVO por estudio (USD)</t>
        </is>
      </c>
      <c r="E21" s="31">
        <f>IF((F14*B6)=0,0,(E14*B6)/(F14*B6))</f>
        <v/>
      </c>
      <c r="F21" s="7" t="n"/>
    </row>
    <row r="22">
      <c r="A22" s="5" t="inlineStr">
        <is>
          <t>Ingreso mensual — total cliente (USD)</t>
        </is>
      </c>
      <c r="E22" s="23">
        <f>F14*B6*INDEX(Supuestos!$E$11:$E$15,MATCH(B5,Supuestos!$A$11:$A$15,0))</f>
        <v/>
      </c>
      <c r="F22" s="7" t="n"/>
    </row>
    <row r="23">
      <c r="A23" s="5" t="inlineStr">
        <is>
          <t>Margen bruto mensual (USD)</t>
        </is>
      </c>
      <c r="E23" s="23">
        <f>F14*B6*INDEX(Supuestos!$E$11:$E$15,MATCH(B5,Supuestos!$A$11:$A$15,0))-E14*B6</f>
        <v/>
      </c>
      <c r="F23" s="7" t="n"/>
    </row>
    <row r="24">
      <c r="A24" s="5" t="inlineStr">
        <is>
          <t>Imp. a la renta — país</t>
        </is>
      </c>
      <c r="E24" s="32">
        <f>INDEX(Supuestos!$C$11:$C$15,MATCH(B5,Supuestos!$A$11:$A$15,0))</f>
        <v/>
      </c>
      <c r="F24" s="7" t="n"/>
    </row>
    <row r="25">
      <c r="A25" s="5" t="inlineStr">
        <is>
          <t>Renta neta mensual (USD)</t>
        </is>
      </c>
      <c r="E25" s="23">
        <f>(F14*B6*INDEX(Supuestos!$E$11:$E$15,MATCH(B5,Supuestos!$A$11:$A$15,0))-E14*B6)*(1-INDEX(Supuestos!$C$11:$C$15,MATCH(B5,Supuestos!$A$11:$A$15,0)))</f>
        <v/>
      </c>
      <c r="F25" s="7" t="n"/>
    </row>
    <row r="26">
      <c r="A26" s="5" t="inlineStr">
        <is>
          <t>RENTA NETA ANUAL — total cliente (USD)</t>
        </is>
      </c>
      <c r="E26" s="6">
        <f>((F14*B6*INDEX(Supuestos!$E$11:$E$15,MATCH(B5,Supuestos!$A$11:$A$15,0))-E14*B6)*(1-INDEX(Supuestos!$C$11:$C$15,MATCH(B5,Supuestos!$A$11:$A$15,0))))*12</f>
        <v/>
      </c>
      <c r="F26" s="7" t="n"/>
    </row>
    <row r="28">
      <c r="A28" s="3" t="inlineStr">
        <is>
          <t>El 'costo efectivo por estudio' cae al agregar equipos/sedes: ahí se ve cómo un cliente denso compensa un precio bajo (ej. Argentina).</t>
        </is>
      </c>
    </row>
  </sheetData>
  <mergeCells count="23">
    <mergeCell ref="A17:D17"/>
    <mergeCell ref="A23:D23"/>
    <mergeCell ref="A22:D22"/>
    <mergeCell ref="E24:F24"/>
    <mergeCell ref="A20:D20"/>
    <mergeCell ref="E23:F23"/>
    <mergeCell ref="A19:D19"/>
    <mergeCell ref="E17:F17"/>
    <mergeCell ref="A2:F2"/>
    <mergeCell ref="E20:F20"/>
    <mergeCell ref="E19:F19"/>
    <mergeCell ref="A24:D24"/>
    <mergeCell ref="A28:F28"/>
    <mergeCell ref="A25:D25"/>
    <mergeCell ref="E26:F26"/>
    <mergeCell ref="A18:D18"/>
    <mergeCell ref="E25:F25"/>
    <mergeCell ref="A1:F1"/>
    <mergeCell ref="A26:D26"/>
    <mergeCell ref="A21:D21"/>
    <mergeCell ref="E22:F22"/>
    <mergeCell ref="E18:F18"/>
    <mergeCell ref="E21:F21"/>
  </mergeCells>
  <dataValidations count="1">
    <dataValidation sqref="B5" showDropDown="0" showInputMessage="0" showErrorMessage="0" allowBlank="0" type="list">
      <formula1>"Chile,Uruguay,Argentina,Colombia,USA"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1"/>
  <sheetViews>
    <sheetView showGridLines="0" workbookViewId="0">
      <selection activeCell="A1" sqref="A1"/>
    </sheetView>
  </sheetViews>
  <sheetFormatPr baseColWidth="8" defaultRowHeight="15"/>
  <cols>
    <col width="12" customWidth="1" min="1" max="1"/>
    <col width="11" customWidth="1" min="2" max="2"/>
    <col width="11" customWidth="1" min="3" max="3"/>
    <col width="14" customWidth="1" min="4" max="4"/>
    <col width="12" customWidth="1" min="5" max="5"/>
    <col width="13" customWidth="1" min="6" max="6"/>
    <col width="9" customWidth="1" min="7" max="7"/>
    <col width="10" customWidth="1" min="8" max="8"/>
    <col width="12" customWidth="1" min="9" max="9"/>
    <col width="12" customWidth="1" min="10" max="10"/>
    <col width="12" customWidth="1" min="11" max="11"/>
  </cols>
  <sheetData>
    <row r="1">
      <c r="A1" s="1" t="inlineStr">
        <is>
          <t>Economía por Estudio — Renta Pasiva Neta por Servicio (precio segmentado por país)</t>
        </is>
      </c>
    </row>
    <row r="2">
      <c r="A2" s="3" t="inlineStr">
        <is>
          <t>Costo unitario Rumotech = costo mensual ÷ volumen. Renta neta = margen bruto × (1 − imp. renta). IVA pass-through (neutro).</t>
        </is>
      </c>
    </row>
    <row r="4" ht="30" customHeight="1">
      <c r="A4" s="12" t="inlineStr">
        <is>
          <t>País</t>
        </is>
      </c>
      <c r="B4" s="12" t="inlineStr">
        <is>
          <t>Escenario</t>
        </is>
      </c>
      <c r="C4" s="12" t="inlineStr">
        <is>
          <t>Volumen
(est./mes)</t>
        </is>
      </c>
      <c r="D4" s="12" t="inlineStr">
        <is>
          <t>Costo Rumotech
/estudio</t>
        </is>
      </c>
      <c r="E4" s="12" t="inlineStr">
        <is>
          <t>Precio SaaS
/estudio</t>
        </is>
      </c>
      <c r="F4" s="12" t="inlineStr">
        <is>
          <t>Margen bruto
/estudio</t>
        </is>
      </c>
      <c r="G4" s="12" t="inlineStr">
        <is>
          <t>Margen
%</t>
        </is>
      </c>
      <c r="H4" s="12" t="inlineStr">
        <is>
          <t>Imp. renta</t>
        </is>
      </c>
      <c r="I4" s="12" t="inlineStr">
        <is>
          <t>Renta neta
/estudio</t>
        </is>
      </c>
      <c r="J4" s="12" t="inlineStr">
        <is>
          <t>Renta neta
mensual</t>
        </is>
      </c>
      <c r="K4" s="12" t="inlineStr">
        <is>
          <t>Renta neta
anual</t>
        </is>
      </c>
    </row>
    <row r="5">
      <c r="A5" s="13" t="inlineStr">
        <is>
          <t>Chile</t>
        </is>
      </c>
      <c r="B5" s="13" t="inlineStr">
        <is>
          <t>Bajo</t>
        </is>
      </c>
      <c r="C5" s="24">
        <f>Supuestos!$B$18</f>
        <v/>
      </c>
      <c r="D5" s="30">
        <f>Supuestos!$B$5/C5</f>
        <v/>
      </c>
      <c r="E5" s="30">
        <f>Supuestos!$E$11</f>
        <v/>
      </c>
      <c r="F5" s="30">
        <f>E5-D5</f>
        <v/>
      </c>
      <c r="G5" s="32">
        <f>IF(E5=0,0,F5/E5)</f>
        <v/>
      </c>
      <c r="H5" s="32">
        <f>Supuestos!$C$11</f>
        <v/>
      </c>
      <c r="I5" s="30">
        <f>F5*(1-H5)</f>
        <v/>
      </c>
      <c r="J5" s="23">
        <f>I5*C5</f>
        <v/>
      </c>
      <c r="K5" s="23">
        <f>J5*12</f>
        <v/>
      </c>
    </row>
    <row r="6">
      <c r="A6" s="33" t="inlineStr">
        <is>
          <t>Chile</t>
        </is>
      </c>
      <c r="B6" s="33" t="inlineStr">
        <is>
          <t>Medio</t>
        </is>
      </c>
      <c r="C6" s="34">
        <f>Supuestos!$B$19</f>
        <v/>
      </c>
      <c r="D6" s="35">
        <f>Supuestos!$B$5/C6</f>
        <v/>
      </c>
      <c r="E6" s="35">
        <f>Supuestos!$E$11</f>
        <v/>
      </c>
      <c r="F6" s="35">
        <f>E6-D6</f>
        <v/>
      </c>
      <c r="G6" s="36">
        <f>IF(E6=0,0,F6/E6)</f>
        <v/>
      </c>
      <c r="H6" s="36">
        <f>Supuestos!$C$11</f>
        <v/>
      </c>
      <c r="I6" s="35">
        <f>F6*(1-H6)</f>
        <v/>
      </c>
      <c r="J6" s="37">
        <f>I6*C6</f>
        <v/>
      </c>
      <c r="K6" s="37">
        <f>J6*12</f>
        <v/>
      </c>
    </row>
    <row r="7">
      <c r="A7" s="13" t="inlineStr">
        <is>
          <t>Chile</t>
        </is>
      </c>
      <c r="B7" s="13" t="inlineStr">
        <is>
          <t>Alto</t>
        </is>
      </c>
      <c r="C7" s="24">
        <f>Supuestos!$B$20</f>
        <v/>
      </c>
      <c r="D7" s="30">
        <f>Supuestos!$B$5/C7</f>
        <v/>
      </c>
      <c r="E7" s="30">
        <f>Supuestos!$E$11</f>
        <v/>
      </c>
      <c r="F7" s="30">
        <f>E7-D7</f>
        <v/>
      </c>
      <c r="G7" s="32">
        <f>IF(E7=0,0,F7/E7)</f>
        <v/>
      </c>
      <c r="H7" s="32">
        <f>Supuestos!$C$11</f>
        <v/>
      </c>
      <c r="I7" s="30">
        <f>F7*(1-H7)</f>
        <v/>
      </c>
      <c r="J7" s="23">
        <f>I7*C7</f>
        <v/>
      </c>
      <c r="K7" s="23">
        <f>J7*12</f>
        <v/>
      </c>
    </row>
    <row r="8">
      <c r="A8" s="13" t="inlineStr">
        <is>
          <t>Uruguay</t>
        </is>
      </c>
      <c r="B8" s="13" t="inlineStr">
        <is>
          <t>Bajo</t>
        </is>
      </c>
      <c r="C8" s="24">
        <f>Supuestos!$B$18</f>
        <v/>
      </c>
      <c r="D8" s="30">
        <f>Supuestos!$B$5/C8</f>
        <v/>
      </c>
      <c r="E8" s="30">
        <f>Supuestos!$E$12</f>
        <v/>
      </c>
      <c r="F8" s="30">
        <f>E8-D8</f>
        <v/>
      </c>
      <c r="G8" s="32">
        <f>IF(E8=0,0,F8/E8)</f>
        <v/>
      </c>
      <c r="H8" s="32">
        <f>Supuestos!$C$12</f>
        <v/>
      </c>
      <c r="I8" s="30">
        <f>F8*(1-H8)</f>
        <v/>
      </c>
      <c r="J8" s="23">
        <f>I8*C8</f>
        <v/>
      </c>
      <c r="K8" s="23">
        <f>J8*12</f>
        <v/>
      </c>
    </row>
    <row r="9">
      <c r="A9" s="33" t="inlineStr">
        <is>
          <t>Uruguay</t>
        </is>
      </c>
      <c r="B9" s="33" t="inlineStr">
        <is>
          <t>Medio</t>
        </is>
      </c>
      <c r="C9" s="34">
        <f>Supuestos!$B$19</f>
        <v/>
      </c>
      <c r="D9" s="35">
        <f>Supuestos!$B$5/C9</f>
        <v/>
      </c>
      <c r="E9" s="35">
        <f>Supuestos!$E$12</f>
        <v/>
      </c>
      <c r="F9" s="35">
        <f>E9-D9</f>
        <v/>
      </c>
      <c r="G9" s="36">
        <f>IF(E9=0,0,F9/E9)</f>
        <v/>
      </c>
      <c r="H9" s="36">
        <f>Supuestos!$C$12</f>
        <v/>
      </c>
      <c r="I9" s="35">
        <f>F9*(1-H9)</f>
        <v/>
      </c>
      <c r="J9" s="37">
        <f>I9*C9</f>
        <v/>
      </c>
      <c r="K9" s="37">
        <f>J9*12</f>
        <v/>
      </c>
    </row>
    <row r="10">
      <c r="A10" s="13" t="inlineStr">
        <is>
          <t>Uruguay</t>
        </is>
      </c>
      <c r="B10" s="13" t="inlineStr">
        <is>
          <t>Alto</t>
        </is>
      </c>
      <c r="C10" s="24">
        <f>Supuestos!$B$20</f>
        <v/>
      </c>
      <c r="D10" s="30">
        <f>Supuestos!$B$5/C10</f>
        <v/>
      </c>
      <c r="E10" s="30">
        <f>Supuestos!$E$12</f>
        <v/>
      </c>
      <c r="F10" s="30">
        <f>E10-D10</f>
        <v/>
      </c>
      <c r="G10" s="32">
        <f>IF(E10=0,0,F10/E10)</f>
        <v/>
      </c>
      <c r="H10" s="32">
        <f>Supuestos!$C$12</f>
        <v/>
      </c>
      <c r="I10" s="30">
        <f>F10*(1-H10)</f>
        <v/>
      </c>
      <c r="J10" s="23">
        <f>I10*C10</f>
        <v/>
      </c>
      <c r="K10" s="23">
        <f>J10*12</f>
        <v/>
      </c>
    </row>
    <row r="11">
      <c r="A11" s="13" t="inlineStr">
        <is>
          <t>Argentina</t>
        </is>
      </c>
      <c r="B11" s="13" t="inlineStr">
        <is>
          <t>Bajo</t>
        </is>
      </c>
      <c r="C11" s="24">
        <f>Supuestos!$B$18</f>
        <v/>
      </c>
      <c r="D11" s="30">
        <f>Supuestos!$B$5/C11</f>
        <v/>
      </c>
      <c r="E11" s="30">
        <f>Supuestos!$E$13</f>
        <v/>
      </c>
      <c r="F11" s="30">
        <f>E11-D11</f>
        <v/>
      </c>
      <c r="G11" s="32">
        <f>IF(E11=0,0,F11/E11)</f>
        <v/>
      </c>
      <c r="H11" s="32">
        <f>Supuestos!$C$13</f>
        <v/>
      </c>
      <c r="I11" s="30">
        <f>F11*(1-H11)</f>
        <v/>
      </c>
      <c r="J11" s="23">
        <f>I11*C11</f>
        <v/>
      </c>
      <c r="K11" s="23">
        <f>J11*12</f>
        <v/>
      </c>
    </row>
    <row r="12">
      <c r="A12" s="33" t="inlineStr">
        <is>
          <t>Argentina</t>
        </is>
      </c>
      <c r="B12" s="33" t="inlineStr">
        <is>
          <t>Medio</t>
        </is>
      </c>
      <c r="C12" s="34">
        <f>Supuestos!$B$19</f>
        <v/>
      </c>
      <c r="D12" s="35">
        <f>Supuestos!$B$5/C12</f>
        <v/>
      </c>
      <c r="E12" s="35">
        <f>Supuestos!$E$13</f>
        <v/>
      </c>
      <c r="F12" s="35">
        <f>E12-D12</f>
        <v/>
      </c>
      <c r="G12" s="36">
        <f>IF(E12=0,0,F12/E12)</f>
        <v/>
      </c>
      <c r="H12" s="36">
        <f>Supuestos!$C$13</f>
        <v/>
      </c>
      <c r="I12" s="35">
        <f>F12*(1-H12)</f>
        <v/>
      </c>
      <c r="J12" s="37">
        <f>I12*C12</f>
        <v/>
      </c>
      <c r="K12" s="37">
        <f>J12*12</f>
        <v/>
      </c>
    </row>
    <row r="13">
      <c r="A13" s="13" t="inlineStr">
        <is>
          <t>Argentina</t>
        </is>
      </c>
      <c r="B13" s="13" t="inlineStr">
        <is>
          <t>Alto</t>
        </is>
      </c>
      <c r="C13" s="24">
        <f>Supuestos!$B$20</f>
        <v/>
      </c>
      <c r="D13" s="30">
        <f>Supuestos!$B$5/C13</f>
        <v/>
      </c>
      <c r="E13" s="30">
        <f>Supuestos!$E$13</f>
        <v/>
      </c>
      <c r="F13" s="30">
        <f>E13-D13</f>
        <v/>
      </c>
      <c r="G13" s="32">
        <f>IF(E13=0,0,F13/E13)</f>
        <v/>
      </c>
      <c r="H13" s="32">
        <f>Supuestos!$C$13</f>
        <v/>
      </c>
      <c r="I13" s="30">
        <f>F13*(1-H13)</f>
        <v/>
      </c>
      <c r="J13" s="23">
        <f>I13*C13</f>
        <v/>
      </c>
      <c r="K13" s="23">
        <f>J13*12</f>
        <v/>
      </c>
    </row>
    <row r="14">
      <c r="A14" s="13" t="inlineStr">
        <is>
          <t>Colombia</t>
        </is>
      </c>
      <c r="B14" s="13" t="inlineStr">
        <is>
          <t>Bajo</t>
        </is>
      </c>
      <c r="C14" s="24">
        <f>Supuestos!$B$18</f>
        <v/>
      </c>
      <c r="D14" s="30">
        <f>Supuestos!$B$5/C14</f>
        <v/>
      </c>
      <c r="E14" s="30">
        <f>Supuestos!$E$14</f>
        <v/>
      </c>
      <c r="F14" s="30">
        <f>E14-D14</f>
        <v/>
      </c>
      <c r="G14" s="32">
        <f>IF(E14=0,0,F14/E14)</f>
        <v/>
      </c>
      <c r="H14" s="32">
        <f>Supuestos!$C$14</f>
        <v/>
      </c>
      <c r="I14" s="30">
        <f>F14*(1-H14)</f>
        <v/>
      </c>
      <c r="J14" s="23">
        <f>I14*C14</f>
        <v/>
      </c>
      <c r="K14" s="23">
        <f>J14*12</f>
        <v/>
      </c>
    </row>
    <row r="15">
      <c r="A15" s="33" t="inlineStr">
        <is>
          <t>Colombia</t>
        </is>
      </c>
      <c r="B15" s="33" t="inlineStr">
        <is>
          <t>Medio</t>
        </is>
      </c>
      <c r="C15" s="34">
        <f>Supuestos!$B$19</f>
        <v/>
      </c>
      <c r="D15" s="35">
        <f>Supuestos!$B$5/C15</f>
        <v/>
      </c>
      <c r="E15" s="35">
        <f>Supuestos!$E$14</f>
        <v/>
      </c>
      <c r="F15" s="35">
        <f>E15-D15</f>
        <v/>
      </c>
      <c r="G15" s="36">
        <f>IF(E15=0,0,F15/E15)</f>
        <v/>
      </c>
      <c r="H15" s="36">
        <f>Supuestos!$C$14</f>
        <v/>
      </c>
      <c r="I15" s="35">
        <f>F15*(1-H15)</f>
        <v/>
      </c>
      <c r="J15" s="37">
        <f>I15*C15</f>
        <v/>
      </c>
      <c r="K15" s="37">
        <f>J15*12</f>
        <v/>
      </c>
    </row>
    <row r="16">
      <c r="A16" s="13" t="inlineStr">
        <is>
          <t>Colombia</t>
        </is>
      </c>
      <c r="B16" s="13" t="inlineStr">
        <is>
          <t>Alto</t>
        </is>
      </c>
      <c r="C16" s="24">
        <f>Supuestos!$B$20</f>
        <v/>
      </c>
      <c r="D16" s="30">
        <f>Supuestos!$B$5/C16</f>
        <v/>
      </c>
      <c r="E16" s="30">
        <f>Supuestos!$E$14</f>
        <v/>
      </c>
      <c r="F16" s="30">
        <f>E16-D16</f>
        <v/>
      </c>
      <c r="G16" s="32">
        <f>IF(E16=0,0,F16/E16)</f>
        <v/>
      </c>
      <c r="H16" s="32">
        <f>Supuestos!$C$14</f>
        <v/>
      </c>
      <c r="I16" s="30">
        <f>F16*(1-H16)</f>
        <v/>
      </c>
      <c r="J16" s="23">
        <f>I16*C16</f>
        <v/>
      </c>
      <c r="K16" s="23">
        <f>J16*12</f>
        <v/>
      </c>
    </row>
    <row r="17">
      <c r="A17" s="13" t="inlineStr">
        <is>
          <t>USA</t>
        </is>
      </c>
      <c r="B17" s="13" t="inlineStr">
        <is>
          <t>Bajo</t>
        </is>
      </c>
      <c r="C17" s="24">
        <f>Supuestos!$B$18</f>
        <v/>
      </c>
      <c r="D17" s="30">
        <f>Supuestos!$B$5/C17</f>
        <v/>
      </c>
      <c r="E17" s="30">
        <f>Supuestos!$E$15</f>
        <v/>
      </c>
      <c r="F17" s="30">
        <f>E17-D17</f>
        <v/>
      </c>
      <c r="G17" s="32">
        <f>IF(E17=0,0,F17/E17)</f>
        <v/>
      </c>
      <c r="H17" s="32">
        <f>Supuestos!$C$15</f>
        <v/>
      </c>
      <c r="I17" s="30">
        <f>F17*(1-H17)</f>
        <v/>
      </c>
      <c r="J17" s="23">
        <f>I17*C17</f>
        <v/>
      </c>
      <c r="K17" s="23">
        <f>J17*12</f>
        <v/>
      </c>
    </row>
    <row r="18">
      <c r="A18" s="33" t="inlineStr">
        <is>
          <t>USA</t>
        </is>
      </c>
      <c r="B18" s="33" t="inlineStr">
        <is>
          <t>Medio</t>
        </is>
      </c>
      <c r="C18" s="34">
        <f>Supuestos!$B$19</f>
        <v/>
      </c>
      <c r="D18" s="35">
        <f>Supuestos!$B$5/C18</f>
        <v/>
      </c>
      <c r="E18" s="35">
        <f>Supuestos!$E$15</f>
        <v/>
      </c>
      <c r="F18" s="35">
        <f>E18-D18</f>
        <v/>
      </c>
      <c r="G18" s="36">
        <f>IF(E18=0,0,F18/E18)</f>
        <v/>
      </c>
      <c r="H18" s="36">
        <f>Supuestos!$C$15</f>
        <v/>
      </c>
      <c r="I18" s="35">
        <f>F18*(1-H18)</f>
        <v/>
      </c>
      <c r="J18" s="37">
        <f>I18*C18</f>
        <v/>
      </c>
      <c r="K18" s="37">
        <f>J18*12</f>
        <v/>
      </c>
    </row>
    <row r="19">
      <c r="A19" s="13" t="inlineStr">
        <is>
          <t>USA</t>
        </is>
      </c>
      <c r="B19" s="13" t="inlineStr">
        <is>
          <t>Alto</t>
        </is>
      </c>
      <c r="C19" s="24">
        <f>Supuestos!$B$20</f>
        <v/>
      </c>
      <c r="D19" s="30">
        <f>Supuestos!$B$5/C19</f>
        <v/>
      </c>
      <c r="E19" s="30">
        <f>Supuestos!$E$15</f>
        <v/>
      </c>
      <c r="F19" s="30">
        <f>E19-D19</f>
        <v/>
      </c>
      <c r="G19" s="32">
        <f>IF(E19=0,0,F19/E19)</f>
        <v/>
      </c>
      <c r="H19" s="32">
        <f>Supuestos!$C$15</f>
        <v/>
      </c>
      <c r="I19" s="30">
        <f>F19*(1-H19)</f>
        <v/>
      </c>
      <c r="J19" s="23">
        <f>I19*C19</f>
        <v/>
      </c>
      <c r="K19" s="23">
        <f>J19*12</f>
        <v/>
      </c>
    </row>
    <row r="21">
      <c r="A21" s="3" t="inlineStr">
        <is>
          <t>Fila sombreada = escenario base (Medio). Precios y volúmenes se editan en 'Supuestos'.</t>
        </is>
      </c>
    </row>
  </sheetData>
  <mergeCells count="3">
    <mergeCell ref="A2:K2"/>
    <mergeCell ref="A1:K1"/>
    <mergeCell ref="A21:K2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0"/>
  <sheetViews>
    <sheetView showGridLines="0" workbookViewId="0">
      <selection activeCell="A1" sqref="A1"/>
    </sheetView>
  </sheetViews>
  <sheetFormatPr baseColWidth="8" defaultRowHeight="15"/>
  <cols>
    <col width="14" customWidth="1" min="1" max="1"/>
    <col width="15" customWidth="1" min="2" max="2"/>
    <col width="15" customWidth="1" min="3" max="3"/>
    <col width="15" customWidth="1" min="4" max="4"/>
    <col width="15" customWidth="1" min="5" max="5"/>
    <col width="15" customWidth="1" min="6" max="6"/>
  </cols>
  <sheetData>
    <row r="1">
      <c r="A1" s="1" t="inlineStr">
        <is>
          <t>Renta Pasiva Neta Anual por Modalidad y Punto de Equilibrio, por País (USD)</t>
        </is>
      </c>
    </row>
    <row r="2">
      <c r="A2" s="3" t="inlineStr">
        <is>
          <t>Break-even = estudios/mes para cubrir el costo fijo de Rumotech. En mercados baratos sube y el piso mensual se vuelve clave.</t>
        </is>
      </c>
    </row>
    <row r="4" ht="30" customHeight="1">
      <c r="A4" s="12" t="inlineStr">
        <is>
          <t>País</t>
        </is>
      </c>
      <c r="B4" s="12" t="inlineStr">
        <is>
          <t>Renta anual
Bajo</t>
        </is>
      </c>
      <c r="C4" s="12" t="inlineStr">
        <is>
          <t>Renta anual
Medio</t>
        </is>
      </c>
      <c r="D4" s="12" t="inlineStr">
        <is>
          <t>Renta anual
Alto</t>
        </is>
      </c>
      <c r="E4" s="12" t="inlineStr">
        <is>
          <t>Break-even
(est./mes)</t>
        </is>
      </c>
      <c r="F4" s="12" t="inlineStr">
        <is>
          <t>Take-rate</t>
        </is>
      </c>
    </row>
    <row r="5">
      <c r="A5" s="13" t="inlineStr">
        <is>
          <t>Chile</t>
        </is>
      </c>
      <c r="B5" s="23">
        <f>'Modelo por Estudio'!K5</f>
        <v/>
      </c>
      <c r="C5" s="23">
        <f>'Modelo por Estudio'!K6</f>
        <v/>
      </c>
      <c r="D5" s="23">
        <f>'Modelo por Estudio'!K7</f>
        <v/>
      </c>
      <c r="E5" s="24">
        <f>Supuestos!$B$5/Supuestos!$E$11</f>
        <v/>
      </c>
      <c r="F5" s="17">
        <f>Supuestos!$F$11</f>
        <v/>
      </c>
    </row>
    <row r="6">
      <c r="A6" s="13" t="inlineStr">
        <is>
          <t>Uruguay</t>
        </is>
      </c>
      <c r="B6" s="23">
        <f>'Modelo por Estudio'!K8</f>
        <v/>
      </c>
      <c r="C6" s="23">
        <f>'Modelo por Estudio'!K9</f>
        <v/>
      </c>
      <c r="D6" s="23">
        <f>'Modelo por Estudio'!K10</f>
        <v/>
      </c>
      <c r="E6" s="24">
        <f>Supuestos!$B$5/Supuestos!$E$12</f>
        <v/>
      </c>
      <c r="F6" s="17">
        <f>Supuestos!$F$12</f>
        <v/>
      </c>
    </row>
    <row r="7">
      <c r="A7" s="13" t="inlineStr">
        <is>
          <t>Argentina</t>
        </is>
      </c>
      <c r="B7" s="23">
        <f>'Modelo por Estudio'!K11</f>
        <v/>
      </c>
      <c r="C7" s="23">
        <f>'Modelo por Estudio'!K12</f>
        <v/>
      </c>
      <c r="D7" s="23">
        <f>'Modelo por Estudio'!K13</f>
        <v/>
      </c>
      <c r="E7" s="24">
        <f>Supuestos!$B$5/Supuestos!$E$13</f>
        <v/>
      </c>
      <c r="F7" s="17">
        <f>Supuestos!$F$13</f>
        <v/>
      </c>
    </row>
    <row r="8">
      <c r="A8" s="13" t="inlineStr">
        <is>
          <t>Colombia</t>
        </is>
      </c>
      <c r="B8" s="23">
        <f>'Modelo por Estudio'!K14</f>
        <v/>
      </c>
      <c r="C8" s="23">
        <f>'Modelo por Estudio'!K15</f>
        <v/>
      </c>
      <c r="D8" s="23">
        <f>'Modelo por Estudio'!K16</f>
        <v/>
      </c>
      <c r="E8" s="24">
        <f>Supuestos!$B$5/Supuestos!$E$14</f>
        <v/>
      </c>
      <c r="F8" s="17">
        <f>Supuestos!$F$14</f>
        <v/>
      </c>
    </row>
    <row r="9">
      <c r="A9" s="13" t="inlineStr">
        <is>
          <t>USA</t>
        </is>
      </c>
      <c r="B9" s="23">
        <f>'Modelo por Estudio'!K17</f>
        <v/>
      </c>
      <c r="C9" s="23">
        <f>'Modelo por Estudio'!K18</f>
        <v/>
      </c>
      <c r="D9" s="23">
        <f>'Modelo por Estudio'!K19</f>
        <v/>
      </c>
      <c r="E9" s="24">
        <f>Supuestos!$B$5/Supuestos!$E$15</f>
        <v/>
      </c>
      <c r="F9" s="17">
        <f>Supuestos!$F$15</f>
        <v/>
      </c>
    </row>
    <row r="10">
      <c r="A10" s="25" t="inlineStr">
        <is>
          <t>Promedio</t>
        </is>
      </c>
      <c r="B10" s="28">
        <f>AVERAGE(B5:B9)</f>
        <v/>
      </c>
      <c r="C10" s="28">
        <f>AVERAGE(C5:C9)</f>
        <v/>
      </c>
      <c r="D10" s="28">
        <f>AVERAGE(D5:D9)</f>
        <v/>
      </c>
      <c r="E10" s="38" t="n"/>
      <c r="F10" s="38"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1"/>
  <sheetViews>
    <sheetView showGridLines="0" workbookViewId="0">
      <selection activeCell="A1" sqref="A1"/>
    </sheetView>
  </sheetViews>
  <sheetFormatPr baseColWidth="8" defaultRowHeight="15"/>
  <cols>
    <col width="1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Comparativo de Precios por País — escenario base (500 estudios/mes)</t>
        </is>
      </c>
    </row>
    <row r="2">
      <c r="A2" s="3" t="inlineStr">
        <is>
          <t>Muestra cómo el precio segmentado sostiene la renta en mercados caros y por qué el costo fijo aprieta el margen en los baratos.</t>
        </is>
      </c>
    </row>
    <row r="4" ht="30" customHeight="1">
      <c r="A4" s="12" t="inlineStr">
        <is>
          <t>País</t>
        </is>
      </c>
      <c r="B4" s="12" t="inlineStr">
        <is>
          <t>Valor ref.
estudio (USD)</t>
        </is>
      </c>
      <c r="C4" s="12" t="inlineStr">
        <is>
          <t>Precio SaaS
/estudio (USD)</t>
        </is>
      </c>
      <c r="D4" s="12" t="inlineStr">
        <is>
          <t>Take-rate</t>
        </is>
      </c>
      <c r="E4" s="12" t="inlineStr">
        <is>
          <t>Break-even
(est./mes)</t>
        </is>
      </c>
      <c r="F4" s="12" t="inlineStr">
        <is>
          <t>Renta neta
/estudio (Medio)</t>
        </is>
      </c>
      <c r="G4" s="12" t="inlineStr">
        <is>
          <t>Renta neta
anual (Medio)</t>
        </is>
      </c>
    </row>
    <row r="5">
      <c r="A5" s="13" t="inlineStr">
        <is>
          <t>Chile</t>
        </is>
      </c>
      <c r="B5" s="23">
        <f>Supuestos!$D$11</f>
        <v/>
      </c>
      <c r="C5" s="30">
        <f>Supuestos!$E$11</f>
        <v/>
      </c>
      <c r="D5" s="17">
        <f>Supuestos!$F$11</f>
        <v/>
      </c>
      <c r="E5" s="24">
        <f>Supuestos!$B$5/Supuestos!$E$11</f>
        <v/>
      </c>
      <c r="F5" s="30">
        <f>'Modelo por Estudio'!I6</f>
        <v/>
      </c>
      <c r="G5" s="23">
        <f>'Modelo por Estudio'!K6</f>
        <v/>
      </c>
    </row>
    <row r="6">
      <c r="A6" s="13" t="inlineStr">
        <is>
          <t>Uruguay</t>
        </is>
      </c>
      <c r="B6" s="23">
        <f>Supuestos!$D$12</f>
        <v/>
      </c>
      <c r="C6" s="30">
        <f>Supuestos!$E$12</f>
        <v/>
      </c>
      <c r="D6" s="17">
        <f>Supuestos!$F$12</f>
        <v/>
      </c>
      <c r="E6" s="24">
        <f>Supuestos!$B$5/Supuestos!$E$12</f>
        <v/>
      </c>
      <c r="F6" s="30">
        <f>'Modelo por Estudio'!I9</f>
        <v/>
      </c>
      <c r="G6" s="23">
        <f>'Modelo por Estudio'!K9</f>
        <v/>
      </c>
    </row>
    <row r="7">
      <c r="A7" s="39" t="inlineStr">
        <is>
          <t>Argentina</t>
        </is>
      </c>
      <c r="B7" s="40">
        <f>Supuestos!$D$13</f>
        <v/>
      </c>
      <c r="C7" s="41">
        <f>Supuestos!$E$13</f>
        <v/>
      </c>
      <c r="D7" s="42">
        <f>Supuestos!$F$13</f>
        <v/>
      </c>
      <c r="E7" s="43">
        <f>Supuestos!$B$5/Supuestos!$E$13</f>
        <v/>
      </c>
      <c r="F7" s="41">
        <f>'Modelo por Estudio'!I12</f>
        <v/>
      </c>
      <c r="G7" s="40">
        <f>'Modelo por Estudio'!K12</f>
        <v/>
      </c>
    </row>
    <row r="8">
      <c r="A8" s="13" t="inlineStr">
        <is>
          <t>Colombia</t>
        </is>
      </c>
      <c r="B8" s="23">
        <f>Supuestos!$D$14</f>
        <v/>
      </c>
      <c r="C8" s="30">
        <f>Supuestos!$E$14</f>
        <v/>
      </c>
      <c r="D8" s="17">
        <f>Supuestos!$F$14</f>
        <v/>
      </c>
      <c r="E8" s="24">
        <f>Supuestos!$B$5/Supuestos!$E$14</f>
        <v/>
      </c>
      <c r="F8" s="30">
        <f>'Modelo por Estudio'!I15</f>
        <v/>
      </c>
      <c r="G8" s="23">
        <f>'Modelo por Estudio'!K15</f>
        <v/>
      </c>
    </row>
    <row r="9">
      <c r="A9" s="13" t="inlineStr">
        <is>
          <t>USA</t>
        </is>
      </c>
      <c r="B9" s="23">
        <f>Supuestos!$D$15</f>
        <v/>
      </c>
      <c r="C9" s="30">
        <f>Supuestos!$E$15</f>
        <v/>
      </c>
      <c r="D9" s="17">
        <f>Supuestos!$F$15</f>
        <v/>
      </c>
      <c r="E9" s="24">
        <f>Supuestos!$B$5/Supuestos!$E$15</f>
        <v/>
      </c>
      <c r="F9" s="30">
        <f>'Modelo por Estudio'!I18</f>
        <v/>
      </c>
      <c r="G9" s="23">
        <f>'Modelo por Estudio'!K18</f>
        <v/>
      </c>
    </row>
    <row r="11">
      <c r="A11" s="3" t="inlineStr">
        <is>
          <t>Argentina resaltado: precio bajo → break-even alto y renta fina. El piso mensual y/o renegociar el costo fijo de Rumotech son las palancas para ese mercado.</t>
        </is>
      </c>
    </row>
  </sheetData>
  <mergeCells count="3">
    <mergeCell ref="A11:G11"/>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2026-07-14T02:27:08Z</dcterms:created>
  <dcterms:modified xsi:type="dcterms:W3CDTF">2026-07-14T02:27:08Z</dcterms:modified>
</cp:coreProperties>
</file>